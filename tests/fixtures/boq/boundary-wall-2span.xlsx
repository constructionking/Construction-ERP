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c\Downloads\"/>
    </mc:Choice>
  </mc:AlternateContent>
  <xr:revisionPtr revIDLastSave="0" documentId="13_ncr:1_{EC1081DC-2EEE-41C0-B8A4-A92600C10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igned wall estimate" sheetId="1" r:id="rId1"/>
    <sheet name="Plain wall estimate" sheetId="3" r:id="rId2"/>
    <sheet name="BBS (2)" sheetId="2" r:id="rId3"/>
  </sheets>
  <definedNames>
    <definedName name="_xlnm.Print_Area" localSheetId="2">'BBS (2)'!$A$1:$R$30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4" i="3" l="1"/>
  <c r="N58" i="1"/>
  <c r="F51" i="1"/>
  <c r="F48" i="1"/>
  <c r="F46" i="3"/>
  <c r="I46" i="3" s="1"/>
  <c r="I51" i="1"/>
  <c r="H50" i="1"/>
  <c r="H49" i="1"/>
  <c r="F49" i="1"/>
  <c r="I44" i="1"/>
  <c r="F45" i="3"/>
  <c r="I45" i="3" s="1"/>
  <c r="I41" i="3"/>
  <c r="I40" i="3"/>
  <c r="I39" i="3"/>
  <c r="I38" i="3"/>
  <c r="I34" i="3"/>
  <c r="I33" i="3"/>
  <c r="I32" i="3"/>
  <c r="I31" i="3"/>
  <c r="I30" i="3"/>
  <c r="I29" i="3"/>
  <c r="I28" i="3"/>
  <c r="I27" i="3"/>
  <c r="I26" i="3"/>
  <c r="I25" i="3"/>
  <c r="I21" i="3"/>
  <c r="I19" i="3"/>
  <c r="H17" i="3"/>
  <c r="I17" i="3" s="1"/>
  <c r="I15" i="3"/>
  <c r="I13" i="3"/>
  <c r="I10" i="3"/>
  <c r="I9" i="3"/>
  <c r="I11" i="3" s="1"/>
  <c r="L11" i="3" s="1"/>
  <c r="I6" i="3"/>
  <c r="I5" i="3"/>
  <c r="I7" i="3" s="1"/>
  <c r="N29" i="2"/>
  <c r="K28" i="2"/>
  <c r="H28" i="2"/>
  <c r="E28" i="2"/>
  <c r="C28" i="2"/>
  <c r="G28" i="2" s="1"/>
  <c r="K27" i="2"/>
  <c r="E27" i="2"/>
  <c r="D27" i="2"/>
  <c r="C27" i="2"/>
  <c r="K26" i="2"/>
  <c r="D26" i="2"/>
  <c r="H26" i="2" s="1"/>
  <c r="H23" i="2"/>
  <c r="G23" i="2"/>
  <c r="C23" i="2"/>
  <c r="E22" i="2"/>
  <c r="D21" i="2"/>
  <c r="H16" i="2"/>
  <c r="C15" i="2"/>
  <c r="D15" i="2" s="1"/>
  <c r="H15" i="2" s="1"/>
  <c r="J15" i="2" s="1"/>
  <c r="S6" i="2"/>
  <c r="S9" i="2"/>
  <c r="S8" i="2"/>
  <c r="J9" i="2"/>
  <c r="S7" i="2"/>
  <c r="J7" i="2"/>
  <c r="K23" i="2"/>
  <c r="K22" i="2"/>
  <c r="E23" i="2"/>
  <c r="K21" i="2"/>
  <c r="D22" i="2"/>
  <c r="K16" i="2"/>
  <c r="K15" i="2"/>
  <c r="Y8" i="2"/>
  <c r="J8" i="2"/>
  <c r="G8" i="2"/>
  <c r="H8" i="2" s="1"/>
  <c r="Y6" i="2"/>
  <c r="J6" i="2"/>
  <c r="G6" i="2"/>
  <c r="H6" i="2" s="1"/>
  <c r="I47" i="3" l="1"/>
  <c r="L47" i="3" s="1"/>
  <c r="I42" i="3"/>
  <c r="L42" i="3" s="1"/>
  <c r="I35" i="3"/>
  <c r="L35" i="3" s="1"/>
  <c r="I22" i="3"/>
  <c r="L22" i="3" s="1"/>
  <c r="I45" i="1"/>
  <c r="L45" i="1" s="1"/>
  <c r="J28" i="2"/>
  <c r="L28" i="2" s="1"/>
  <c r="J26" i="2"/>
  <c r="N26" i="2" s="1"/>
  <c r="H27" i="2"/>
  <c r="J27" i="2" s="1"/>
  <c r="N27" i="2" s="1"/>
  <c r="D28" i="2"/>
  <c r="C16" i="2"/>
  <c r="D16" i="2" s="1"/>
  <c r="G16" i="2" s="1"/>
  <c r="J16" i="2" s="1"/>
  <c r="L16" i="2" s="1"/>
  <c r="L29" i="2" s="1"/>
  <c r="R29" i="2" s="1"/>
  <c r="G7" i="2"/>
  <c r="H7" i="2" s="1"/>
  <c r="K7" i="2" s="1"/>
  <c r="G9" i="2"/>
  <c r="H9" i="2" s="1"/>
  <c r="K9" i="2" s="1"/>
  <c r="C22" i="2"/>
  <c r="N15" i="2"/>
  <c r="K8" i="2"/>
  <c r="J23" i="2"/>
  <c r="L23" i="2" s="1"/>
  <c r="K6" i="2"/>
  <c r="D23" i="2"/>
  <c r="H21" i="2"/>
  <c r="I51" i="3" l="1"/>
  <c r="I52" i="3" s="1"/>
  <c r="I56" i="1"/>
  <c r="I57" i="1" s="1"/>
  <c r="K10" i="2"/>
  <c r="H22" i="2"/>
  <c r="J22" i="2" s="1"/>
  <c r="N22" i="2" s="1"/>
  <c r="J21" i="2"/>
  <c r="N21" i="2" s="1"/>
  <c r="L57" i="1" l="1"/>
  <c r="N57" i="1"/>
  <c r="N52" i="3"/>
  <c r="L52" i="3"/>
  <c r="L53" i="3" s="1"/>
  <c r="I48" i="1"/>
  <c r="H41" i="1"/>
  <c r="I41" i="1" s="1"/>
  <c r="I40" i="1"/>
  <c r="H17" i="1"/>
  <c r="I17" i="1" s="1"/>
  <c r="I5" i="1"/>
  <c r="I50" i="1"/>
  <c r="I49" i="1"/>
  <c r="I39" i="1"/>
  <c r="I38" i="1"/>
  <c r="I34" i="1"/>
  <c r="I33" i="1"/>
  <c r="I32" i="1"/>
  <c r="I31" i="1"/>
  <c r="I30" i="1"/>
  <c r="I29" i="1"/>
  <c r="I28" i="1"/>
  <c r="I27" i="1"/>
  <c r="I26" i="1"/>
  <c r="I25" i="1"/>
  <c r="I21" i="1"/>
  <c r="I19" i="1"/>
  <c r="I15" i="1"/>
  <c r="I13" i="1"/>
  <c r="I10" i="1"/>
  <c r="I9" i="1"/>
  <c r="I6" i="1"/>
  <c r="I52" i="1" l="1"/>
  <c r="L52" i="1" s="1"/>
  <c r="I42" i="1"/>
  <c r="L42" i="1" s="1"/>
  <c r="I35" i="1"/>
  <c r="L35" i="1" s="1"/>
  <c r="I11" i="1"/>
  <c r="L11" i="1" s="1"/>
  <c r="I7" i="1"/>
  <c r="I22" i="1"/>
  <c r="L22" i="1" s="1"/>
  <c r="L58" i="1" l="1"/>
  <c r="L59" i="1" s="1"/>
</calcChain>
</file>

<file path=xl/sharedStrings.xml><?xml version="1.0" encoding="utf-8"?>
<sst xmlns="http://schemas.openxmlformats.org/spreadsheetml/2006/main" count="207" uniqueCount="90">
  <si>
    <r>
      <rPr>
        <b/>
        <sz val="11"/>
        <rFont val="Calibri"/>
        <family val="1"/>
      </rPr>
      <t>Sr. No.</t>
    </r>
  </si>
  <si>
    <r>
      <rPr>
        <b/>
        <sz val="11"/>
        <rFont val="Calibri"/>
        <family val="1"/>
      </rPr>
      <t>Description</t>
    </r>
  </si>
  <si>
    <r>
      <rPr>
        <b/>
        <sz val="11"/>
        <rFont val="Calibri"/>
        <family val="1"/>
      </rPr>
      <t>UOM</t>
    </r>
  </si>
  <si>
    <r>
      <rPr>
        <b/>
        <sz val="11"/>
        <rFont val="Calibri"/>
        <family val="1"/>
      </rPr>
      <t>NOS</t>
    </r>
  </si>
  <si>
    <r>
      <rPr>
        <b/>
        <sz val="11"/>
        <rFont val="Calibri"/>
        <family val="1"/>
      </rPr>
      <t>length</t>
    </r>
  </si>
  <si>
    <r>
      <rPr>
        <b/>
        <sz val="11"/>
        <rFont val="Calibri"/>
        <family val="1"/>
      </rPr>
      <t>Width</t>
    </r>
  </si>
  <si>
    <r>
      <rPr>
        <b/>
        <sz val="11"/>
        <rFont val="Calibri"/>
        <family val="1"/>
      </rPr>
      <t>Height/Depth</t>
    </r>
  </si>
  <si>
    <r>
      <rPr>
        <b/>
        <sz val="11"/>
        <rFont val="Calibri"/>
        <family val="1"/>
      </rPr>
      <t>Quantity</t>
    </r>
  </si>
  <si>
    <r>
      <rPr>
        <b/>
        <sz val="11"/>
        <rFont val="Calibri"/>
        <family val="1"/>
      </rPr>
      <t>Remarks</t>
    </r>
  </si>
  <si>
    <r>
      <rPr>
        <sz val="11"/>
        <rFont val="Calibri"/>
        <family val="1"/>
      </rPr>
      <t>CUM</t>
    </r>
  </si>
  <si>
    <r>
      <rPr>
        <sz val="11"/>
        <rFont val="Calibri"/>
        <family val="1"/>
      </rPr>
      <t>for boundry wall</t>
    </r>
  </si>
  <si>
    <r>
      <rPr>
        <b/>
        <sz val="11"/>
        <rFont val="Calibri"/>
        <family val="1"/>
      </rPr>
      <t>CONCRETE</t>
    </r>
  </si>
  <si>
    <r>
      <rPr>
        <sz val="11"/>
        <rFont val="Calibri"/>
        <family val="1"/>
      </rPr>
      <t>Providing  and laying PCC with M10</t>
    </r>
  </si>
  <si>
    <r>
      <rPr>
        <sz val="11"/>
        <rFont val="Calibri"/>
        <family val="1"/>
      </rPr>
      <t>Providing  and laying Fotting concret with M20</t>
    </r>
  </si>
  <si>
    <r>
      <rPr>
        <sz val="11"/>
        <rFont val="Calibri"/>
        <family val="1"/>
      </rPr>
      <t>L= .1.2 W=.9</t>
    </r>
  </si>
  <si>
    <r>
      <rPr>
        <sz val="11"/>
        <rFont val="Calibri"/>
        <family val="1"/>
      </rPr>
      <t>Providing  and laying padstael concret with M20</t>
    </r>
  </si>
  <si>
    <r>
      <rPr>
        <sz val="11"/>
        <rFont val="Calibri"/>
        <family val="1"/>
      </rPr>
      <t>Providing  and laying column concret with M20</t>
    </r>
  </si>
  <si>
    <r>
      <rPr>
        <sz val="11"/>
        <rFont val="Calibri"/>
        <family val="1"/>
      </rPr>
      <t>Providing  and laying plinth beam concret with M20</t>
    </r>
  </si>
  <si>
    <r>
      <rPr>
        <sz val="11"/>
        <rFont val="Calibri"/>
        <family val="1"/>
      </rPr>
      <t>Providing  and laying top band or beam concret with M20</t>
    </r>
  </si>
  <si>
    <r>
      <rPr>
        <b/>
        <sz val="11"/>
        <rFont val="Calibri"/>
        <family val="1"/>
      </rPr>
      <t>SHUTTERING</t>
    </r>
  </si>
  <si>
    <r>
      <rPr>
        <sz val="11"/>
        <rFont val="Calibri"/>
        <family val="1"/>
      </rPr>
      <t>Providing  and Fixing shuttring for column fotting PCC</t>
    </r>
  </si>
  <si>
    <r>
      <rPr>
        <sz val="11"/>
        <rFont val="Calibri"/>
        <family val="1"/>
      </rPr>
      <t>SQM</t>
    </r>
  </si>
  <si>
    <r>
      <rPr>
        <sz val="11"/>
        <rFont val="Calibri"/>
        <family val="1"/>
      </rPr>
      <t>for wall PCC</t>
    </r>
  </si>
  <si>
    <r>
      <rPr>
        <sz val="11"/>
        <rFont val="Calibri"/>
        <family val="1"/>
      </rPr>
      <t>for column footing</t>
    </r>
  </si>
  <si>
    <r>
      <rPr>
        <sz val="11"/>
        <rFont val="Calibri"/>
        <family val="1"/>
      </rPr>
      <t>for column padestal</t>
    </r>
  </si>
  <si>
    <r>
      <rPr>
        <sz val="11"/>
        <rFont val="Calibri"/>
        <family val="1"/>
      </rPr>
      <t>for column</t>
    </r>
  </si>
  <si>
    <r>
      <rPr>
        <sz val="11"/>
        <rFont val="Calibri"/>
        <family val="1"/>
      </rPr>
      <t>for plinth beam</t>
    </r>
  </si>
  <si>
    <r>
      <rPr>
        <sz val="11"/>
        <rFont val="Calibri"/>
        <family val="1"/>
      </rPr>
      <t>for top beam</t>
    </r>
  </si>
  <si>
    <r>
      <rPr>
        <b/>
        <sz val="11"/>
        <rFont val="Calibri"/>
        <family val="1"/>
      </rPr>
      <t>BRICKWORK ALIGN WITH ROAD AND PARK</t>
    </r>
  </si>
  <si>
    <r>
      <rPr>
        <sz val="11"/>
        <rFont val="Calibri"/>
        <family val="1"/>
      </rPr>
      <t>In foundation</t>
    </r>
  </si>
  <si>
    <r>
      <rPr>
        <sz val="11"/>
        <rFont val="Calibri"/>
        <family val="1"/>
      </rPr>
      <t>in super structure</t>
    </r>
  </si>
  <si>
    <r>
      <rPr>
        <b/>
        <sz val="11"/>
        <rFont val="Calibri"/>
        <family val="1"/>
      </rPr>
      <t>BRICKWORK ALIGN WITH PLOT</t>
    </r>
  </si>
  <si>
    <r>
      <rPr>
        <b/>
        <sz val="11"/>
        <rFont val="Calibri"/>
        <family val="1"/>
      </rPr>
      <t>PLASTER</t>
    </r>
  </si>
  <si>
    <r>
      <rPr>
        <sz val="11"/>
        <rFont val="Calibri"/>
        <family val="1"/>
      </rPr>
      <t>wall above NGL</t>
    </r>
  </si>
  <si>
    <r>
      <rPr>
        <sz val="11"/>
        <rFont val="Calibri"/>
        <family val="1"/>
      </rPr>
      <t>walls nitchs ( cill and jambs)</t>
    </r>
  </si>
  <si>
    <t>Building</t>
  </si>
  <si>
    <t>BBS</t>
  </si>
  <si>
    <t>LOCATION:-</t>
  </si>
  <si>
    <t>F1</t>
  </si>
  <si>
    <t>Sr No.</t>
  </si>
  <si>
    <t>Description</t>
  </si>
  <si>
    <t>Bar Mark</t>
  </si>
  <si>
    <t>No</t>
  </si>
  <si>
    <t>No. of Bar</t>
  </si>
  <si>
    <t>Cut length (mm)</t>
  </si>
  <si>
    <t>Total Length (mm)</t>
  </si>
  <si>
    <t>Dia (mm)</t>
  </si>
  <si>
    <t>Unit weight (kg/m)</t>
  </si>
  <si>
    <t>Qty. (kg)</t>
  </si>
  <si>
    <t>Bottom</t>
  </si>
  <si>
    <t>Sr. no</t>
  </si>
  <si>
    <t>Nos</t>
  </si>
  <si>
    <t>Length</t>
  </si>
  <si>
    <t>Dia</t>
  </si>
  <si>
    <t>Total Length</t>
  </si>
  <si>
    <t>8mm</t>
  </si>
  <si>
    <t>10mm</t>
  </si>
  <si>
    <t>12mm</t>
  </si>
  <si>
    <t>16mm</t>
  </si>
  <si>
    <t>20mm</t>
  </si>
  <si>
    <t>25mm</t>
  </si>
  <si>
    <t>Column</t>
  </si>
  <si>
    <t>Footing Ring</t>
  </si>
  <si>
    <t>C3</t>
  </si>
  <si>
    <t xml:space="preserve">Plinth Beam </t>
  </si>
  <si>
    <t>B1</t>
  </si>
  <si>
    <t>T1</t>
  </si>
  <si>
    <t>End Zone ring</t>
  </si>
  <si>
    <t>PB1</t>
  </si>
  <si>
    <t>Top</t>
  </si>
  <si>
    <t>Top band</t>
  </si>
  <si>
    <t xml:space="preserve">Steel </t>
  </si>
  <si>
    <t>footing+ column+ beam</t>
  </si>
  <si>
    <t>KG</t>
  </si>
  <si>
    <t>Rate</t>
  </si>
  <si>
    <t>Amount</t>
  </si>
  <si>
    <r>
      <rPr>
        <b/>
        <sz val="11"/>
        <rFont val="Calibri"/>
        <family val="1"/>
      </rPr>
      <t>HARIVANAM ESTATE</t>
    </r>
  </si>
  <si>
    <r>
      <rPr>
        <b/>
        <sz val="11"/>
        <color rgb="FFFF0000"/>
        <rFont val="Calibri"/>
        <family val="1"/>
      </rPr>
      <t>Quantity for Boundry Wall for 2 nos. of Span</t>
    </r>
  </si>
  <si>
    <r>
      <rPr>
        <b/>
        <sz val="11"/>
        <rFont val="Calibri"/>
        <family val="1"/>
      </rPr>
      <t>EXCAVATION</t>
    </r>
  </si>
  <si>
    <r>
      <rPr>
        <sz val="11"/>
        <rFont val="Calibri"/>
        <family val="1"/>
      </rPr>
      <t>Excavation  of footing with machnical equipment upto 1.2
meter depth in all respect size ( 900*1200)</t>
    </r>
  </si>
  <si>
    <r>
      <rPr>
        <sz val="11"/>
        <rFont val="Calibri"/>
        <family val="1"/>
      </rPr>
      <t>L= .5+1.2+.5,
W=.5+.9+.5</t>
    </r>
  </si>
  <si>
    <r>
      <rPr>
        <sz val="11"/>
        <rFont val="Calibri"/>
        <family val="1"/>
      </rPr>
      <t>L= 3.35-2.2,
W=.3+.6+.3</t>
    </r>
  </si>
  <si>
    <r>
      <rPr>
        <sz val="11"/>
        <rFont val="Calibri"/>
        <family val="1"/>
      </rPr>
      <t>L= .075+1.2+.075,
W=.075+.9+.075</t>
    </r>
  </si>
  <si>
    <r>
      <rPr>
        <sz val="11"/>
        <rFont val="Calibri"/>
        <family val="1"/>
      </rPr>
      <t>height=upto NGL
+upto  padestal to ngl = 2.7+.6</t>
    </r>
  </si>
  <si>
    <r>
      <rPr>
        <sz val="11"/>
        <rFont val="Calibri"/>
        <family val="1"/>
      </rPr>
      <t>Doing brickwork with first class bricks with (1:6) cement
coarse sand mortar in all respect.</t>
    </r>
  </si>
  <si>
    <r>
      <rPr>
        <sz val="11"/>
        <rFont val="Calibri"/>
        <family val="1"/>
      </rPr>
      <t>Doing plaster upto 15 mm thick with (1:6) cement mortar in all
respect</t>
    </r>
  </si>
  <si>
    <t>per mtr</t>
  </si>
  <si>
    <t>Doing brickwork with first class bricks with (1:6) cement coarse sand mortar in all respect.115 mm</t>
  </si>
  <si>
    <t>For 6.7mtr</t>
  </si>
  <si>
    <t>For 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</si>
</sst>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1"/>
    </font>
    <font>
      <sz val="11"/>
      <name val="Calibri"/>
      <family val="1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1" applyAlignment="1">
      <alignment horizontal="center"/>
    </xf>
    <xf numFmtId="0" fontId="1" fillId="0" borderId="0" xfId="1"/>
    <xf numFmtId="0" fontId="6" fillId="0" borderId="6" xfId="1" applyFont="1" applyBorder="1" applyAlignment="1">
      <alignment horizontal="center" vertical="center"/>
    </xf>
    <xf numFmtId="0" fontId="1" fillId="0" borderId="6" xfId="1" applyBorder="1" applyAlignment="1">
      <alignment horizontal="left"/>
    </xf>
    <xf numFmtId="0" fontId="1" fillId="0" borderId="6" xfId="1" applyBorder="1" applyAlignment="1">
      <alignment horizontal="center"/>
    </xf>
    <xf numFmtId="1" fontId="1" fillId="0" borderId="6" xfId="1" applyNumberFormat="1" applyBorder="1" applyAlignment="1">
      <alignment horizontal="center" vertical="center"/>
    </xf>
    <xf numFmtId="1" fontId="1" fillId="0" borderId="6" xfId="1" applyNumberFormat="1" applyBorder="1" applyAlignment="1">
      <alignment horizontal="center"/>
    </xf>
    <xf numFmtId="165" fontId="1" fillId="0" borderId="6" xfId="1" applyNumberFormat="1" applyBorder="1" applyAlignment="1">
      <alignment horizontal="center"/>
    </xf>
    <xf numFmtId="0" fontId="6" fillId="0" borderId="6" xfId="1" applyFont="1" applyBorder="1" applyAlignment="1">
      <alignment horizontal="center" vertical="center" wrapText="1"/>
    </xf>
    <xf numFmtId="1" fontId="6" fillId="0" borderId="6" xfId="1" applyNumberFormat="1" applyFont="1" applyBorder="1" applyAlignment="1">
      <alignment horizontal="center" vertical="center" wrapText="1"/>
    </xf>
    <xf numFmtId="165" fontId="6" fillId="0" borderId="6" xfId="1" applyNumberFormat="1" applyFont="1" applyBorder="1" applyAlignment="1">
      <alignment horizontal="center" vertical="center" wrapText="1"/>
    </xf>
    <xf numFmtId="0" fontId="1" fillId="0" borderId="6" xfId="1" applyBorder="1" applyAlignment="1">
      <alignment horizontal="left" vertical="center" wrapText="1"/>
    </xf>
    <xf numFmtId="0" fontId="1" fillId="0" borderId="6" xfId="1" applyBorder="1" applyAlignment="1">
      <alignment horizontal="center" vertical="center" wrapText="1"/>
    </xf>
    <xf numFmtId="1" fontId="1" fillId="0" borderId="6" xfId="1" applyNumberFormat="1" applyBorder="1" applyAlignment="1">
      <alignment horizontal="center" vertical="center" wrapText="1"/>
    </xf>
    <xf numFmtId="165" fontId="1" fillId="0" borderId="6" xfId="1" applyNumberFormat="1" applyBorder="1" applyAlignment="1">
      <alignment horizontal="center" vertical="center" wrapText="1"/>
    </xf>
    <xf numFmtId="2" fontId="1" fillId="0" borderId="6" xfId="1" applyNumberFormat="1" applyBorder="1" applyAlignment="1">
      <alignment horizontal="center" vertical="center" wrapText="1"/>
    </xf>
    <xf numFmtId="2" fontId="6" fillId="0" borderId="6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" fillId="0" borderId="7" xfId="1" applyBorder="1" applyAlignment="1">
      <alignment horizontal="left" vertical="center" wrapText="1"/>
    </xf>
    <xf numFmtId="0" fontId="1" fillId="0" borderId="7" xfId="1" applyBorder="1" applyAlignment="1">
      <alignment horizontal="center" vertical="center" wrapText="1"/>
    </xf>
    <xf numFmtId="1" fontId="1" fillId="0" borderId="7" xfId="1" applyNumberFormat="1" applyBorder="1" applyAlignment="1">
      <alignment horizontal="center" vertical="center" wrapText="1"/>
    </xf>
    <xf numFmtId="2" fontId="6" fillId="0" borderId="7" xfId="1" applyNumberFormat="1" applyFont="1" applyBorder="1" applyAlignment="1">
      <alignment horizontal="center" vertical="center" wrapText="1"/>
    </xf>
    <xf numFmtId="1" fontId="6" fillId="0" borderId="6" xfId="1" applyNumberFormat="1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6" fillId="3" borderId="6" xfId="1" applyFont="1" applyFill="1" applyBorder="1"/>
    <xf numFmtId="0" fontId="1" fillId="3" borderId="6" xfId="1" applyFill="1" applyBorder="1" applyAlignment="1">
      <alignment horizontal="center"/>
    </xf>
    <xf numFmtId="1" fontId="1" fillId="3" borderId="6" xfId="1" applyNumberFormat="1" applyFill="1" applyBorder="1" applyAlignment="1">
      <alignment horizontal="center" vertical="center"/>
    </xf>
    <xf numFmtId="1" fontId="1" fillId="3" borderId="6" xfId="1" applyNumberFormat="1" applyFill="1" applyBorder="1" applyAlignment="1">
      <alignment horizontal="center"/>
    </xf>
    <xf numFmtId="165" fontId="1" fillId="3" borderId="6" xfId="1" applyNumberFormat="1" applyFill="1" applyBorder="1" applyAlignment="1">
      <alignment horizontal="center"/>
    </xf>
    <xf numFmtId="2" fontId="1" fillId="3" borderId="6" xfId="1" applyNumberFormat="1" applyFill="1" applyBorder="1" applyAlignment="1">
      <alignment horizontal="center"/>
    </xf>
    <xf numFmtId="0" fontId="1" fillId="3" borderId="6" xfId="1" applyFill="1" applyBorder="1"/>
    <xf numFmtId="0" fontId="1" fillId="3" borderId="0" xfId="1" applyFill="1"/>
    <xf numFmtId="0" fontId="1" fillId="0" borderId="6" xfId="1" applyBorder="1" applyAlignment="1">
      <alignment horizontal="center" vertical="center"/>
    </xf>
    <xf numFmtId="0" fontId="1" fillId="0" borderId="6" xfId="1" applyBorder="1"/>
    <xf numFmtId="2" fontId="1" fillId="0" borderId="6" xfId="1" applyNumberFormat="1" applyBorder="1" applyAlignment="1">
      <alignment horizontal="center" vertical="center"/>
    </xf>
    <xf numFmtId="165" fontId="1" fillId="0" borderId="6" xfId="1" applyNumberFormat="1" applyBorder="1" applyAlignment="1">
      <alignment horizontal="center" vertical="center"/>
    </xf>
    <xf numFmtId="2" fontId="1" fillId="0" borderId="6" xfId="1" applyNumberFormat="1" applyBorder="1" applyAlignment="1">
      <alignment horizontal="center"/>
    </xf>
    <xf numFmtId="0" fontId="6" fillId="3" borderId="6" xfId="1" applyFont="1" applyFill="1" applyBorder="1" applyAlignment="1">
      <alignment horizontal="center" vertical="center"/>
    </xf>
    <xf numFmtId="1" fontId="6" fillId="3" borderId="6" xfId="1" applyNumberFormat="1" applyFont="1" applyFill="1" applyBorder="1" applyAlignment="1">
      <alignment horizontal="center" vertical="center"/>
    </xf>
    <xf numFmtId="165" fontId="6" fillId="3" borderId="6" xfId="1" applyNumberFormat="1" applyFont="1" applyFill="1" applyBorder="1" applyAlignment="1">
      <alignment horizontal="center" vertical="center" wrapText="1"/>
    </xf>
    <xf numFmtId="2" fontId="6" fillId="3" borderId="6" xfId="1" applyNumberFormat="1" applyFont="1" applyFill="1" applyBorder="1" applyAlignment="1">
      <alignment horizontal="center" vertical="center"/>
    </xf>
    <xf numFmtId="0" fontId="1" fillId="0" borderId="6" xfId="1" applyBorder="1" applyAlignment="1">
      <alignment horizontal="center" wrapText="1"/>
    </xf>
    <xf numFmtId="2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0" xfId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1" fontId="1" fillId="0" borderId="0" xfId="1" applyNumberFormat="1" applyAlignment="1">
      <alignment horizontal="center"/>
    </xf>
    <xf numFmtId="2" fontId="1" fillId="0" borderId="6" xfId="1" applyNumberFormat="1" applyBorder="1"/>
    <xf numFmtId="1" fontId="2" fillId="0" borderId="6" xfId="0" applyNumberFormat="1" applyFont="1" applyBorder="1" applyAlignment="1">
      <alignment horizontal="center" vertical="center" shrinkToFit="1"/>
    </xf>
    <xf numFmtId="164" fontId="2" fillId="0" borderId="6" xfId="0" applyNumberFormat="1" applyFont="1" applyBorder="1" applyAlignment="1">
      <alignment horizontal="center" vertical="center" shrinkToFit="1"/>
    </xf>
    <xf numFmtId="2" fontId="2" fillId="0" borderId="6" xfId="0" applyNumberFormat="1" applyFont="1" applyBorder="1" applyAlignment="1">
      <alignment horizontal="center" vertical="center" shrinkToFit="1"/>
    </xf>
    <xf numFmtId="2" fontId="3" fillId="0" borderId="6" xfId="0" applyNumberFormat="1" applyFont="1" applyBorder="1" applyAlignment="1">
      <alignment horizontal="center" vertical="center" shrinkToFit="1"/>
    </xf>
    <xf numFmtId="1" fontId="2" fillId="0" borderId="6" xfId="0" applyNumberFormat="1" applyFont="1" applyBorder="1" applyAlignment="1">
      <alignment horizontal="center" vertical="top" shrinkToFit="1"/>
    </xf>
    <xf numFmtId="165" fontId="2" fillId="0" borderId="6" xfId="0" applyNumberFormat="1" applyFont="1" applyBorder="1" applyAlignment="1">
      <alignment horizontal="center" vertical="center" shrinkToFit="1"/>
    </xf>
    <xf numFmtId="165" fontId="3" fillId="0" borderId="6" xfId="0" applyNumberFormat="1" applyFont="1" applyBorder="1" applyAlignment="1">
      <alignment horizontal="center" vertical="center" shrinkToFit="1"/>
    </xf>
    <xf numFmtId="0" fontId="5" fillId="0" borderId="6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vertical="top" wrapText="1"/>
    </xf>
    <xf numFmtId="0" fontId="8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top" wrapText="1"/>
    </xf>
    <xf numFmtId="0" fontId="11" fillId="0" borderId="6" xfId="0" applyFont="1" applyBorder="1" applyAlignment="1">
      <alignment horizontal="left" wrapText="1"/>
    </xf>
    <xf numFmtId="0" fontId="11" fillId="0" borderId="6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2" fontId="9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1" fillId="0" borderId="6" xfId="1" applyBorder="1" applyAlignment="1">
      <alignment horizontal="left"/>
    </xf>
  </cellXfs>
  <cellStyles count="2">
    <cellStyle name="Normal" xfId="0" builtinId="0"/>
    <cellStyle name="Normal 2" xfId="1" xr:uid="{0400D897-D358-451F-AECB-B5EB726D5C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A37" workbookViewId="0">
      <selection activeCell="A46" sqref="A46:I46"/>
    </sheetView>
  </sheetViews>
  <sheetFormatPr defaultRowHeight="13.8" x14ac:dyDescent="0.25"/>
  <cols>
    <col min="1" max="1" width="8" customWidth="1"/>
    <col min="2" max="2" width="39.88671875" style="2" customWidth="1"/>
    <col min="3" max="6" width="11.33203125" style="1" customWidth="1"/>
    <col min="7" max="7" width="11.5546875" style="1" customWidth="1"/>
    <col min="8" max="8" width="12.44140625" style="1" bestFit="1" customWidth="1"/>
    <col min="9" max="9" width="11.33203125" style="1" customWidth="1"/>
    <col min="10" max="10" width="20.21875" style="1" hidden="1" customWidth="1"/>
    <col min="11" max="11" width="8.88671875" style="60"/>
    <col min="12" max="12" width="10.77734375" style="60" customWidth="1"/>
    <col min="13" max="13" width="11.5546875" bestFit="1" customWidth="1"/>
  </cols>
  <sheetData>
    <row r="1" spans="1:12" ht="24" customHeight="1" x14ac:dyDescent="0.25">
      <c r="A1" s="77" t="s">
        <v>76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</row>
    <row r="2" spans="1:12" ht="18" customHeight="1" x14ac:dyDescent="0.25">
      <c r="A2" s="80" t="s">
        <v>77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2"/>
    </row>
    <row r="3" spans="1:12" ht="18" customHeight="1" x14ac:dyDescent="0.25">
      <c r="A3" s="76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61"/>
      <c r="L3" s="61"/>
    </row>
    <row r="4" spans="1:12" ht="16.5" customHeight="1" x14ac:dyDescent="0.25">
      <c r="A4" s="62" t="s">
        <v>0</v>
      </c>
      <c r="B4" s="63" t="s">
        <v>1</v>
      </c>
      <c r="C4" s="64" t="s">
        <v>2</v>
      </c>
      <c r="D4" s="64" t="s">
        <v>3</v>
      </c>
      <c r="E4" s="64" t="s">
        <v>3</v>
      </c>
      <c r="F4" s="64" t="s">
        <v>4</v>
      </c>
      <c r="G4" s="64" t="s">
        <v>5</v>
      </c>
      <c r="H4" s="64" t="s">
        <v>6</v>
      </c>
      <c r="I4" s="64" t="s">
        <v>7</v>
      </c>
      <c r="J4" s="64" t="s">
        <v>8</v>
      </c>
      <c r="K4" s="61" t="s">
        <v>74</v>
      </c>
      <c r="L4" s="61" t="s">
        <v>75</v>
      </c>
    </row>
    <row r="5" spans="1:12" s="1" customFormat="1" ht="43.2" x14ac:dyDescent="0.25">
      <c r="A5" s="52">
        <v>1</v>
      </c>
      <c r="B5" s="65" t="s">
        <v>79</v>
      </c>
      <c r="C5" s="66" t="s">
        <v>9</v>
      </c>
      <c r="D5" s="52">
        <v>1</v>
      </c>
      <c r="E5" s="52">
        <v>2</v>
      </c>
      <c r="F5" s="53">
        <v>2.2000000000000002</v>
      </c>
      <c r="G5" s="53">
        <v>1.9</v>
      </c>
      <c r="H5" s="53">
        <v>1.2</v>
      </c>
      <c r="I5" s="54">
        <f>D5*E5*F5*G5*H5</f>
        <v>10.031999999999998</v>
      </c>
      <c r="J5" s="67" t="s">
        <v>80</v>
      </c>
      <c r="K5" s="61"/>
      <c r="L5" s="61"/>
    </row>
    <row r="6" spans="1:12" ht="28.8" x14ac:dyDescent="0.25">
      <c r="A6" s="68"/>
      <c r="B6" s="69" t="s">
        <v>10</v>
      </c>
      <c r="C6" s="66" t="s">
        <v>9</v>
      </c>
      <c r="D6" s="52">
        <v>1</v>
      </c>
      <c r="E6" s="52">
        <v>2</v>
      </c>
      <c r="F6" s="54">
        <v>1.1499999999999999</v>
      </c>
      <c r="G6" s="53">
        <v>1.2</v>
      </c>
      <c r="H6" s="53">
        <v>0.6</v>
      </c>
      <c r="I6" s="54">
        <f>D6*E6*F6*G6*H6</f>
        <v>1.6559999999999999</v>
      </c>
      <c r="J6" s="67" t="s">
        <v>81</v>
      </c>
      <c r="K6" s="61"/>
      <c r="L6" s="61"/>
    </row>
    <row r="7" spans="1:12" ht="14.4" x14ac:dyDescent="0.25">
      <c r="A7" s="70"/>
      <c r="B7" s="65"/>
      <c r="C7" s="67"/>
      <c r="D7" s="67"/>
      <c r="E7" s="67"/>
      <c r="F7" s="67"/>
      <c r="G7" s="67"/>
      <c r="H7" s="67"/>
      <c r="I7" s="55">
        <f>SUM(I5:I6)</f>
        <v>11.687999999999999</v>
      </c>
      <c r="J7" s="67"/>
      <c r="K7" s="61"/>
      <c r="L7" s="61"/>
    </row>
    <row r="8" spans="1:12" ht="14.4" x14ac:dyDescent="0.25">
      <c r="A8" s="76" t="s">
        <v>11</v>
      </c>
      <c r="B8" s="76"/>
      <c r="C8" s="76"/>
      <c r="D8" s="76"/>
      <c r="E8" s="76"/>
      <c r="F8" s="76"/>
      <c r="G8" s="76"/>
      <c r="H8" s="76"/>
      <c r="I8" s="76"/>
      <c r="J8" s="76"/>
      <c r="K8" s="61"/>
      <c r="L8" s="61"/>
    </row>
    <row r="9" spans="1:12" ht="28.8" x14ac:dyDescent="0.25">
      <c r="A9" s="56">
        <v>2</v>
      </c>
      <c r="B9" s="69" t="s">
        <v>12</v>
      </c>
      <c r="C9" s="66" t="s">
        <v>9</v>
      </c>
      <c r="D9" s="52">
        <v>1</v>
      </c>
      <c r="E9" s="52">
        <v>2</v>
      </c>
      <c r="F9" s="54">
        <v>1.35</v>
      </c>
      <c r="G9" s="54">
        <v>1.05</v>
      </c>
      <c r="H9" s="53">
        <v>0.1</v>
      </c>
      <c r="I9" s="54">
        <f t="shared" ref="I9:I10" si="0">D9*E9*F9*G9*H9</f>
        <v>0.28350000000000003</v>
      </c>
      <c r="J9" s="67" t="s">
        <v>82</v>
      </c>
      <c r="K9" s="61"/>
      <c r="L9" s="61"/>
    </row>
    <row r="10" spans="1:12" ht="14.4" x14ac:dyDescent="0.25">
      <c r="A10" s="70"/>
      <c r="B10" s="69" t="s">
        <v>10</v>
      </c>
      <c r="C10" s="66" t="s">
        <v>9</v>
      </c>
      <c r="D10" s="52">
        <v>1</v>
      </c>
      <c r="E10" s="52">
        <v>2</v>
      </c>
      <c r="F10" s="54">
        <v>3.12</v>
      </c>
      <c r="G10" s="53">
        <v>0.6</v>
      </c>
      <c r="H10" s="53">
        <v>0.1</v>
      </c>
      <c r="I10" s="54">
        <f t="shared" si="0"/>
        <v>0.37440000000000001</v>
      </c>
      <c r="J10" s="67"/>
      <c r="K10" s="61"/>
      <c r="L10" s="61"/>
    </row>
    <row r="11" spans="1:12" ht="14.4" x14ac:dyDescent="0.25">
      <c r="A11" s="70"/>
      <c r="B11" s="65"/>
      <c r="C11" s="67"/>
      <c r="D11" s="67"/>
      <c r="E11" s="67"/>
      <c r="F11" s="67"/>
      <c r="G11" s="67"/>
      <c r="H11" s="67"/>
      <c r="I11" s="55">
        <f>SUM(I9:I10)</f>
        <v>0.65790000000000004</v>
      </c>
      <c r="J11" s="67"/>
      <c r="K11" s="61">
        <v>600</v>
      </c>
      <c r="L11" s="75">
        <f>I11*K11</f>
        <v>394.74</v>
      </c>
    </row>
    <row r="12" spans="1:12" ht="14.4" x14ac:dyDescent="0.25">
      <c r="A12" s="70"/>
      <c r="B12" s="65"/>
      <c r="C12" s="67"/>
      <c r="D12" s="67"/>
      <c r="E12" s="67"/>
      <c r="F12" s="67"/>
      <c r="G12" s="67"/>
      <c r="H12" s="67"/>
      <c r="I12" s="67"/>
      <c r="J12" s="67"/>
      <c r="K12" s="61"/>
      <c r="L12" s="75"/>
    </row>
    <row r="13" spans="1:12" ht="14.4" x14ac:dyDescent="0.25">
      <c r="A13" s="56">
        <v>3</v>
      </c>
      <c r="B13" s="69" t="s">
        <v>13</v>
      </c>
      <c r="C13" s="66" t="s">
        <v>9</v>
      </c>
      <c r="D13" s="52">
        <v>1</v>
      </c>
      <c r="E13" s="52">
        <v>2</v>
      </c>
      <c r="F13" s="53">
        <v>1.2</v>
      </c>
      <c r="G13" s="53">
        <v>0.9</v>
      </c>
      <c r="H13" s="54">
        <v>0.35</v>
      </c>
      <c r="I13" s="54">
        <f>D13*E13*F13*G13*H13</f>
        <v>0.75600000000000001</v>
      </c>
      <c r="J13" s="66" t="s">
        <v>14</v>
      </c>
      <c r="K13" s="61"/>
      <c r="L13" s="75"/>
    </row>
    <row r="14" spans="1:12" ht="14.4" x14ac:dyDescent="0.25">
      <c r="A14" s="70"/>
      <c r="B14" s="65"/>
      <c r="C14" s="67"/>
      <c r="D14" s="67"/>
      <c r="E14" s="67"/>
      <c r="F14" s="67"/>
      <c r="G14" s="67"/>
      <c r="H14" s="67"/>
      <c r="I14" s="67"/>
      <c r="J14" s="67"/>
      <c r="K14" s="61"/>
      <c r="L14" s="75"/>
    </row>
    <row r="15" spans="1:12" ht="28.8" x14ac:dyDescent="0.25">
      <c r="A15" s="56">
        <v>4</v>
      </c>
      <c r="B15" s="69" t="s">
        <v>15</v>
      </c>
      <c r="C15" s="66" t="s">
        <v>9</v>
      </c>
      <c r="D15" s="52">
        <v>1</v>
      </c>
      <c r="E15" s="52">
        <v>2</v>
      </c>
      <c r="F15" s="54">
        <v>0.43</v>
      </c>
      <c r="G15" s="57">
        <v>0.34499999999999997</v>
      </c>
      <c r="H15" s="54">
        <v>0.15</v>
      </c>
      <c r="I15" s="54">
        <f>D15*E15*F15*G15*H15</f>
        <v>4.4504999999999996E-2</v>
      </c>
      <c r="J15" s="67"/>
      <c r="K15" s="61"/>
      <c r="L15" s="75"/>
    </row>
    <row r="16" spans="1:12" ht="14.4" x14ac:dyDescent="0.25">
      <c r="A16" s="70"/>
      <c r="B16" s="65"/>
      <c r="C16" s="67"/>
      <c r="D16" s="67"/>
      <c r="E16" s="67"/>
      <c r="F16" s="67"/>
      <c r="G16" s="67"/>
      <c r="H16" s="67"/>
      <c r="I16" s="67"/>
      <c r="J16" s="67"/>
      <c r="K16" s="61"/>
      <c r="L16" s="75"/>
    </row>
    <row r="17" spans="1:12" ht="43.2" x14ac:dyDescent="0.25">
      <c r="A17" s="52">
        <v>5</v>
      </c>
      <c r="B17" s="69" t="s">
        <v>16</v>
      </c>
      <c r="C17" s="66" t="s">
        <v>9</v>
      </c>
      <c r="D17" s="52">
        <v>1</v>
      </c>
      <c r="E17" s="52">
        <v>2</v>
      </c>
      <c r="F17" s="54">
        <v>0.23</v>
      </c>
      <c r="G17" s="54">
        <v>0.23</v>
      </c>
      <c r="H17" s="53">
        <f>2.1+1.2</f>
        <v>3.3</v>
      </c>
      <c r="I17" s="54">
        <f>D17*E17*F17*G17*H17</f>
        <v>0.34914000000000001</v>
      </c>
      <c r="J17" s="67" t="s">
        <v>83</v>
      </c>
      <c r="K17" s="61"/>
      <c r="L17" s="75"/>
    </row>
    <row r="18" spans="1:12" ht="14.4" x14ac:dyDescent="0.25">
      <c r="A18" s="70"/>
      <c r="B18" s="65"/>
      <c r="C18" s="67"/>
      <c r="D18" s="67"/>
      <c r="E18" s="67"/>
      <c r="F18" s="67"/>
      <c r="G18" s="67"/>
      <c r="H18" s="67"/>
      <c r="I18" s="67"/>
      <c r="J18" s="67"/>
      <c r="K18" s="61"/>
      <c r="L18" s="75"/>
    </row>
    <row r="19" spans="1:12" ht="28.8" x14ac:dyDescent="0.25">
      <c r="A19" s="56">
        <v>6</v>
      </c>
      <c r="B19" s="69" t="s">
        <v>17</v>
      </c>
      <c r="C19" s="66" t="s">
        <v>9</v>
      </c>
      <c r="D19" s="52">
        <v>1</v>
      </c>
      <c r="E19" s="52">
        <v>2</v>
      </c>
      <c r="F19" s="54">
        <v>3.12</v>
      </c>
      <c r="G19" s="54">
        <v>0.23</v>
      </c>
      <c r="H19" s="54">
        <v>0.15</v>
      </c>
      <c r="I19" s="54">
        <f>D19*E19*F19*G19*H19</f>
        <v>0.21528</v>
      </c>
      <c r="J19" s="67"/>
      <c r="K19" s="61"/>
      <c r="L19" s="75"/>
    </row>
    <row r="20" spans="1:12" ht="14.4" x14ac:dyDescent="0.25">
      <c r="A20" s="70"/>
      <c r="B20" s="65"/>
      <c r="C20" s="67"/>
      <c r="D20" s="67"/>
      <c r="E20" s="67"/>
      <c r="F20" s="67"/>
      <c r="G20" s="67"/>
      <c r="H20" s="67"/>
      <c r="I20" s="67"/>
      <c r="J20" s="67"/>
      <c r="K20" s="61"/>
      <c r="L20" s="75"/>
    </row>
    <row r="21" spans="1:12" ht="28.8" x14ac:dyDescent="0.25">
      <c r="A21" s="56">
        <v>7</v>
      </c>
      <c r="B21" s="69" t="s">
        <v>18</v>
      </c>
      <c r="C21" s="66" t="s">
        <v>9</v>
      </c>
      <c r="D21" s="52">
        <v>1</v>
      </c>
      <c r="E21" s="52">
        <v>2</v>
      </c>
      <c r="F21" s="54">
        <v>3.12</v>
      </c>
      <c r="G21" s="54">
        <v>0.23</v>
      </c>
      <c r="H21" s="54">
        <v>0.15</v>
      </c>
      <c r="I21" s="54">
        <f>D21*E21*F21*G21*H21</f>
        <v>0.21528</v>
      </c>
      <c r="J21" s="67"/>
      <c r="K21" s="61"/>
      <c r="L21" s="75"/>
    </row>
    <row r="22" spans="1:12" ht="14.4" x14ac:dyDescent="0.25">
      <c r="A22" s="70"/>
      <c r="B22" s="65"/>
      <c r="C22" s="67"/>
      <c r="D22" s="67"/>
      <c r="E22" s="67"/>
      <c r="F22" s="67"/>
      <c r="G22" s="67"/>
      <c r="H22" s="67"/>
      <c r="I22" s="58">
        <f>SUM(I13:I21)</f>
        <v>1.5802049999999999</v>
      </c>
      <c r="J22" s="67"/>
      <c r="K22" s="61">
        <v>1000</v>
      </c>
      <c r="L22" s="75">
        <f>I22*K22</f>
        <v>1580.2049999999999</v>
      </c>
    </row>
    <row r="23" spans="1:12" ht="14.4" x14ac:dyDescent="0.25">
      <c r="A23" s="70"/>
      <c r="B23" s="65"/>
      <c r="C23" s="67"/>
      <c r="D23" s="67"/>
      <c r="E23" s="67"/>
      <c r="F23" s="67"/>
      <c r="G23" s="67"/>
      <c r="H23" s="67"/>
      <c r="I23" s="67"/>
      <c r="J23" s="67"/>
      <c r="K23" s="61"/>
      <c r="L23" s="75"/>
    </row>
    <row r="24" spans="1:12" ht="14.4" x14ac:dyDescent="0.25">
      <c r="A24" s="76" t="s">
        <v>19</v>
      </c>
      <c r="B24" s="76"/>
      <c r="C24" s="76"/>
      <c r="D24" s="76"/>
      <c r="E24" s="76"/>
      <c r="F24" s="76"/>
      <c r="G24" s="76"/>
      <c r="H24" s="76"/>
      <c r="I24" s="76"/>
      <c r="J24" s="76"/>
      <c r="K24" s="61"/>
      <c r="L24" s="75"/>
    </row>
    <row r="25" spans="1:12" ht="28.8" x14ac:dyDescent="0.25">
      <c r="A25" s="56">
        <v>8</v>
      </c>
      <c r="B25" s="69" t="s">
        <v>20</v>
      </c>
      <c r="C25" s="66" t="s">
        <v>21</v>
      </c>
      <c r="D25" s="52">
        <v>2</v>
      </c>
      <c r="E25" s="52">
        <v>2</v>
      </c>
      <c r="F25" s="54">
        <v>1.35</v>
      </c>
      <c r="G25" s="67"/>
      <c r="H25" s="53">
        <v>0.1</v>
      </c>
      <c r="I25" s="54">
        <f>D25*E25*F25*H25</f>
        <v>0.54</v>
      </c>
      <c r="J25" s="67"/>
      <c r="K25" s="61"/>
      <c r="L25" s="75"/>
    </row>
    <row r="26" spans="1:12" ht="14.4" x14ac:dyDescent="0.25">
      <c r="A26" s="70"/>
      <c r="B26" s="65"/>
      <c r="C26" s="66" t="s">
        <v>21</v>
      </c>
      <c r="D26" s="52">
        <v>2</v>
      </c>
      <c r="E26" s="52">
        <v>2</v>
      </c>
      <c r="F26" s="54">
        <v>1.05</v>
      </c>
      <c r="G26" s="67"/>
      <c r="H26" s="53">
        <v>0.1</v>
      </c>
      <c r="I26" s="54">
        <f t="shared" ref="I26:I34" si="1">D26*E26*F26*H26</f>
        <v>0.42000000000000004</v>
      </c>
      <c r="J26" s="67"/>
      <c r="K26" s="61"/>
      <c r="L26" s="75"/>
    </row>
    <row r="27" spans="1:12" ht="14.4" x14ac:dyDescent="0.25">
      <c r="A27" s="70"/>
      <c r="B27" s="69" t="s">
        <v>22</v>
      </c>
      <c r="C27" s="66" t="s">
        <v>21</v>
      </c>
      <c r="D27" s="52">
        <v>2</v>
      </c>
      <c r="E27" s="52">
        <v>2</v>
      </c>
      <c r="F27" s="54">
        <v>3.12</v>
      </c>
      <c r="G27" s="67"/>
      <c r="H27" s="53">
        <v>0.1</v>
      </c>
      <c r="I27" s="54">
        <f t="shared" si="1"/>
        <v>1.2480000000000002</v>
      </c>
      <c r="J27" s="67"/>
      <c r="K27" s="61"/>
      <c r="L27" s="75"/>
    </row>
    <row r="28" spans="1:12" ht="14.4" x14ac:dyDescent="0.25">
      <c r="A28" s="70"/>
      <c r="B28" s="69" t="s">
        <v>23</v>
      </c>
      <c r="C28" s="66" t="s">
        <v>21</v>
      </c>
      <c r="D28" s="52">
        <v>2</v>
      </c>
      <c r="E28" s="52">
        <v>2</v>
      </c>
      <c r="F28" s="53">
        <v>1.2</v>
      </c>
      <c r="G28" s="67"/>
      <c r="H28" s="54">
        <v>0.35</v>
      </c>
      <c r="I28" s="54">
        <f t="shared" si="1"/>
        <v>1.68</v>
      </c>
      <c r="J28" s="67"/>
      <c r="K28" s="61"/>
      <c r="L28" s="75"/>
    </row>
    <row r="29" spans="1:12" ht="14.4" x14ac:dyDescent="0.25">
      <c r="A29" s="70"/>
      <c r="B29" s="69" t="s">
        <v>23</v>
      </c>
      <c r="C29" s="66" t="s">
        <v>21</v>
      </c>
      <c r="D29" s="52">
        <v>2</v>
      </c>
      <c r="E29" s="52">
        <v>2</v>
      </c>
      <c r="F29" s="53">
        <v>0.9</v>
      </c>
      <c r="G29" s="67"/>
      <c r="H29" s="54">
        <v>0.35</v>
      </c>
      <c r="I29" s="54">
        <f t="shared" si="1"/>
        <v>1.26</v>
      </c>
      <c r="J29" s="67"/>
      <c r="K29" s="61"/>
      <c r="L29" s="75"/>
    </row>
    <row r="30" spans="1:12" ht="14.4" x14ac:dyDescent="0.25">
      <c r="A30" s="70"/>
      <c r="B30" s="69" t="s">
        <v>24</v>
      </c>
      <c r="C30" s="66" t="s">
        <v>21</v>
      </c>
      <c r="D30" s="52">
        <v>2</v>
      </c>
      <c r="E30" s="52">
        <v>2</v>
      </c>
      <c r="F30" s="54">
        <v>0.43</v>
      </c>
      <c r="G30" s="67"/>
      <c r="H30" s="54">
        <v>0.15</v>
      </c>
      <c r="I30" s="54">
        <f t="shared" si="1"/>
        <v>0.25800000000000001</v>
      </c>
      <c r="J30" s="67"/>
      <c r="K30" s="61"/>
      <c r="L30" s="75"/>
    </row>
    <row r="31" spans="1:12" ht="14.4" x14ac:dyDescent="0.25">
      <c r="A31" s="70"/>
      <c r="B31" s="69" t="s">
        <v>24</v>
      </c>
      <c r="C31" s="66" t="s">
        <v>21</v>
      </c>
      <c r="D31" s="52">
        <v>2</v>
      </c>
      <c r="E31" s="52">
        <v>2</v>
      </c>
      <c r="F31" s="57">
        <v>0.34499999999999997</v>
      </c>
      <c r="G31" s="67"/>
      <c r="H31" s="54">
        <v>0.15</v>
      </c>
      <c r="I31" s="54">
        <f t="shared" si="1"/>
        <v>0.20699999999999999</v>
      </c>
      <c r="J31" s="67"/>
      <c r="K31" s="61"/>
      <c r="L31" s="75"/>
    </row>
    <row r="32" spans="1:12" ht="14.4" x14ac:dyDescent="0.25">
      <c r="A32" s="70"/>
      <c r="B32" s="69" t="s">
        <v>25</v>
      </c>
      <c r="C32" s="66" t="s">
        <v>21</v>
      </c>
      <c r="D32" s="52">
        <v>2</v>
      </c>
      <c r="E32" s="52">
        <v>4</v>
      </c>
      <c r="F32" s="54">
        <v>0.23</v>
      </c>
      <c r="G32" s="67"/>
      <c r="H32" s="53">
        <v>3.3</v>
      </c>
      <c r="I32" s="54">
        <f t="shared" si="1"/>
        <v>6.0720000000000001</v>
      </c>
      <c r="J32" s="67"/>
      <c r="K32" s="61"/>
      <c r="L32" s="75"/>
    </row>
    <row r="33" spans="1:12" ht="14.4" x14ac:dyDescent="0.25">
      <c r="A33" s="70"/>
      <c r="B33" s="69" t="s">
        <v>26</v>
      </c>
      <c r="C33" s="66" t="s">
        <v>21</v>
      </c>
      <c r="D33" s="52">
        <v>2</v>
      </c>
      <c r="E33" s="52">
        <v>2</v>
      </c>
      <c r="F33" s="54">
        <v>3.12</v>
      </c>
      <c r="G33" s="67"/>
      <c r="H33" s="54">
        <v>0.15</v>
      </c>
      <c r="I33" s="54">
        <f t="shared" si="1"/>
        <v>1.8719999999999999</v>
      </c>
      <c r="J33" s="67"/>
      <c r="K33" s="61"/>
      <c r="L33" s="75"/>
    </row>
    <row r="34" spans="1:12" ht="14.4" x14ac:dyDescent="0.25">
      <c r="A34" s="70"/>
      <c r="B34" s="69" t="s">
        <v>27</v>
      </c>
      <c r="C34" s="66" t="s">
        <v>21</v>
      </c>
      <c r="D34" s="52">
        <v>2</v>
      </c>
      <c r="E34" s="52">
        <v>2</v>
      </c>
      <c r="F34" s="54">
        <v>3.12</v>
      </c>
      <c r="G34" s="67"/>
      <c r="H34" s="54">
        <v>0.15</v>
      </c>
      <c r="I34" s="54">
        <f t="shared" si="1"/>
        <v>1.8719999999999999</v>
      </c>
      <c r="J34" s="67"/>
      <c r="K34" s="61"/>
      <c r="L34" s="75"/>
    </row>
    <row r="35" spans="1:12" ht="14.4" x14ac:dyDescent="0.25">
      <c r="A35" s="70"/>
      <c r="B35" s="65"/>
      <c r="C35" s="67"/>
      <c r="D35" s="67"/>
      <c r="E35" s="67"/>
      <c r="F35" s="67"/>
      <c r="G35" s="67"/>
      <c r="H35" s="67"/>
      <c r="I35" s="55">
        <f>SUM(I25:I34)</f>
        <v>15.428999999999998</v>
      </c>
      <c r="J35" s="67"/>
      <c r="K35" s="61">
        <v>300</v>
      </c>
      <c r="L35" s="75">
        <f>I35*K35</f>
        <v>4628.7</v>
      </c>
    </row>
    <row r="36" spans="1:12" ht="14.4" x14ac:dyDescent="0.25">
      <c r="A36" s="76" t="s">
        <v>28</v>
      </c>
      <c r="B36" s="76"/>
      <c r="C36" s="76"/>
      <c r="D36" s="76"/>
      <c r="E36" s="76"/>
      <c r="F36" s="76"/>
      <c r="G36" s="76"/>
      <c r="H36" s="76"/>
      <c r="I36" s="76"/>
      <c r="J36" s="67"/>
      <c r="K36" s="61"/>
      <c r="L36" s="75"/>
    </row>
    <row r="37" spans="1:12" ht="43.2" x14ac:dyDescent="0.25">
      <c r="A37" s="56">
        <v>9</v>
      </c>
      <c r="B37" s="65" t="s">
        <v>84</v>
      </c>
      <c r="C37" s="67"/>
      <c r="D37" s="67"/>
      <c r="E37" s="67"/>
      <c r="F37" s="67"/>
      <c r="G37" s="67"/>
      <c r="H37" s="67"/>
      <c r="I37" s="67"/>
      <c r="J37" s="67"/>
      <c r="K37" s="61"/>
      <c r="L37" s="75"/>
    </row>
    <row r="38" spans="1:12" ht="14.4" x14ac:dyDescent="0.25">
      <c r="A38" s="70"/>
      <c r="B38" s="69" t="s">
        <v>29</v>
      </c>
      <c r="C38" s="66" t="s">
        <v>9</v>
      </c>
      <c r="D38" s="52">
        <v>1</v>
      </c>
      <c r="E38" s="52">
        <v>2</v>
      </c>
      <c r="F38" s="54">
        <v>3.12</v>
      </c>
      <c r="G38" s="54">
        <v>0.46</v>
      </c>
      <c r="H38" s="54">
        <v>0.15</v>
      </c>
      <c r="I38" s="54">
        <f>D38*E38*F38*G38*H38</f>
        <v>0.43056</v>
      </c>
      <c r="J38" s="67"/>
      <c r="K38" s="61"/>
      <c r="L38" s="75"/>
    </row>
    <row r="39" spans="1:12" ht="14.4" x14ac:dyDescent="0.25">
      <c r="A39" s="70"/>
      <c r="B39" s="69" t="s">
        <v>29</v>
      </c>
      <c r="C39" s="66" t="s">
        <v>9</v>
      </c>
      <c r="D39" s="52">
        <v>1</v>
      </c>
      <c r="E39" s="52">
        <v>2</v>
      </c>
      <c r="F39" s="54">
        <v>3.12</v>
      </c>
      <c r="G39" s="57">
        <v>0.34499999999999997</v>
      </c>
      <c r="H39" s="54">
        <v>0.15</v>
      </c>
      <c r="I39" s="54">
        <f t="shared" ref="I39:I41" si="2">D39*E39*F39*G39*H39</f>
        <v>0.32291999999999998</v>
      </c>
      <c r="J39" s="67"/>
      <c r="K39" s="61"/>
      <c r="L39" s="75"/>
    </row>
    <row r="40" spans="1:12" ht="14.4" x14ac:dyDescent="0.25">
      <c r="A40" s="70"/>
      <c r="B40" s="69" t="s">
        <v>29</v>
      </c>
      <c r="C40" s="66" t="s">
        <v>9</v>
      </c>
      <c r="D40" s="52">
        <v>1</v>
      </c>
      <c r="E40" s="52">
        <v>2</v>
      </c>
      <c r="F40" s="54">
        <v>3.12</v>
      </c>
      <c r="G40" s="54">
        <v>0.23</v>
      </c>
      <c r="H40" s="54">
        <v>0.65</v>
      </c>
      <c r="I40" s="54">
        <f t="shared" si="2"/>
        <v>0.93288000000000004</v>
      </c>
      <c r="J40" s="67"/>
      <c r="K40" s="61"/>
      <c r="L40" s="75"/>
    </row>
    <row r="41" spans="1:12" ht="14.4" x14ac:dyDescent="0.25">
      <c r="A41" s="70"/>
      <c r="B41" s="69" t="s">
        <v>30</v>
      </c>
      <c r="C41" s="66" t="s">
        <v>9</v>
      </c>
      <c r="D41" s="52">
        <v>1</v>
      </c>
      <c r="E41" s="52">
        <v>2</v>
      </c>
      <c r="F41" s="54">
        <v>3.12</v>
      </c>
      <c r="G41" s="54">
        <v>0.23</v>
      </c>
      <c r="H41" s="57">
        <f>0.39+0.465</f>
        <v>0.85499999999999998</v>
      </c>
      <c r="I41" s="54">
        <f t="shared" si="2"/>
        <v>1.227096</v>
      </c>
      <c r="J41" s="67"/>
      <c r="K41" s="61"/>
      <c r="L41" s="75"/>
    </row>
    <row r="42" spans="1:12" ht="14.4" x14ac:dyDescent="0.25">
      <c r="A42" s="70"/>
      <c r="B42" s="65"/>
      <c r="C42" s="67"/>
      <c r="D42" s="67"/>
      <c r="E42" s="67"/>
      <c r="F42" s="67"/>
      <c r="G42" s="67"/>
      <c r="H42" s="67"/>
      <c r="I42" s="55">
        <f>SUM(I38:J41)</f>
        <v>2.913456</v>
      </c>
      <c r="J42" s="67"/>
      <c r="K42" s="61">
        <v>1000</v>
      </c>
      <c r="L42" s="75">
        <f>I42*K42</f>
        <v>2913.4560000000001</v>
      </c>
    </row>
    <row r="43" spans="1:12" ht="43.2" x14ac:dyDescent="0.25">
      <c r="A43" s="56">
        <v>10</v>
      </c>
      <c r="B43" s="59" t="s">
        <v>87</v>
      </c>
      <c r="C43" s="67"/>
      <c r="D43" s="67"/>
      <c r="E43" s="67"/>
      <c r="F43" s="67"/>
      <c r="G43" s="67"/>
      <c r="H43" s="67"/>
      <c r="I43" s="67"/>
      <c r="J43" s="67"/>
      <c r="K43" s="61"/>
      <c r="L43" s="75"/>
    </row>
    <row r="44" spans="1:12" ht="14.4" x14ac:dyDescent="0.25">
      <c r="A44" s="70"/>
      <c r="B44" s="65"/>
      <c r="C44" s="66" t="s">
        <v>9</v>
      </c>
      <c r="D44" s="52">
        <v>1</v>
      </c>
      <c r="E44" s="52">
        <v>2</v>
      </c>
      <c r="F44" s="54">
        <v>3.12</v>
      </c>
      <c r="G44" s="57">
        <v>0.115</v>
      </c>
      <c r="H44" s="54">
        <v>0.95</v>
      </c>
      <c r="I44" s="54">
        <f t="shared" ref="I44" si="3">D44*E44*F44*G44*H44</f>
        <v>0.68171999999999999</v>
      </c>
      <c r="J44" s="67"/>
      <c r="K44" s="61"/>
      <c r="L44" s="75"/>
    </row>
    <row r="45" spans="1:12" ht="14.4" x14ac:dyDescent="0.25">
      <c r="A45" s="70"/>
      <c r="B45" s="65"/>
      <c r="C45" s="67"/>
      <c r="D45" s="67"/>
      <c r="E45" s="67"/>
      <c r="F45" s="67"/>
      <c r="G45" s="67"/>
      <c r="H45" s="67"/>
      <c r="I45" s="55">
        <f>SUM(I44:I44)</f>
        <v>0.68171999999999999</v>
      </c>
      <c r="J45" s="67"/>
      <c r="K45" s="61">
        <v>180</v>
      </c>
      <c r="L45" s="75">
        <f>I45*K45</f>
        <v>122.70959999999999</v>
      </c>
    </row>
    <row r="46" spans="1:12" ht="14.4" x14ac:dyDescent="0.25">
      <c r="A46" s="76" t="s">
        <v>32</v>
      </c>
      <c r="B46" s="76"/>
      <c r="C46" s="76"/>
      <c r="D46" s="76"/>
      <c r="E46" s="76"/>
      <c r="F46" s="76"/>
      <c r="G46" s="76"/>
      <c r="H46" s="76"/>
      <c r="I46" s="76"/>
      <c r="J46" s="67"/>
      <c r="K46" s="61"/>
      <c r="L46" s="75"/>
    </row>
    <row r="47" spans="1:12" ht="43.2" x14ac:dyDescent="0.25">
      <c r="A47" s="56">
        <v>11</v>
      </c>
      <c r="B47" s="65" t="s">
        <v>85</v>
      </c>
      <c r="C47" s="67"/>
      <c r="D47" s="67"/>
      <c r="E47" s="67"/>
      <c r="F47" s="67"/>
      <c r="G47" s="67"/>
      <c r="H47" s="67"/>
      <c r="I47" s="67"/>
      <c r="J47" s="67"/>
      <c r="K47" s="61"/>
      <c r="L47" s="75"/>
    </row>
    <row r="48" spans="1:12" ht="14.4" x14ac:dyDescent="0.25">
      <c r="A48" s="70"/>
      <c r="B48" s="69" t="s">
        <v>33</v>
      </c>
      <c r="C48" s="66" t="s">
        <v>21</v>
      </c>
      <c r="D48" s="52">
        <v>1</v>
      </c>
      <c r="E48" s="52">
        <v>2</v>
      </c>
      <c r="F48" s="54">
        <f>3.35*2</f>
        <v>6.7</v>
      </c>
      <c r="G48" s="67"/>
      <c r="H48" s="53">
        <v>2.7</v>
      </c>
      <c r="I48" s="54">
        <f>D48*E48*F48*H48</f>
        <v>36.180000000000007</v>
      </c>
      <c r="J48" s="67"/>
      <c r="K48" s="61"/>
      <c r="L48" s="75"/>
    </row>
    <row r="49" spans="1:14" ht="14.4" x14ac:dyDescent="0.25">
      <c r="A49" s="70"/>
      <c r="B49" s="69" t="s">
        <v>34</v>
      </c>
      <c r="C49" s="66" t="s">
        <v>21</v>
      </c>
      <c r="D49" s="52">
        <v>2</v>
      </c>
      <c r="E49" s="52">
        <v>2</v>
      </c>
      <c r="F49" s="54">
        <f>3.12-0.23</f>
        <v>2.89</v>
      </c>
      <c r="G49" s="67"/>
      <c r="H49" s="54">
        <f>0.115+0.03+0.075+0.03</f>
        <v>0.25</v>
      </c>
      <c r="I49" s="54">
        <f t="shared" ref="I49:I50" si="4">D49*E49*F49*H49</f>
        <v>2.89</v>
      </c>
      <c r="J49" s="67"/>
      <c r="K49" s="61"/>
      <c r="L49" s="75"/>
    </row>
    <row r="50" spans="1:14" ht="14.4" x14ac:dyDescent="0.25">
      <c r="A50" s="70"/>
      <c r="B50" s="65"/>
      <c r="C50" s="66" t="s">
        <v>21</v>
      </c>
      <c r="D50" s="52">
        <v>2</v>
      </c>
      <c r="E50" s="52">
        <v>2</v>
      </c>
      <c r="F50" s="54">
        <v>0.95</v>
      </c>
      <c r="G50" s="67"/>
      <c r="H50" s="54">
        <f>0.115+0.03+0.075+0.03</f>
        <v>0.25</v>
      </c>
      <c r="I50" s="54">
        <f t="shared" si="4"/>
        <v>0.95</v>
      </c>
      <c r="J50" s="67"/>
      <c r="K50" s="61"/>
      <c r="L50" s="75"/>
    </row>
    <row r="51" spans="1:14" ht="14.4" x14ac:dyDescent="0.25">
      <c r="A51" s="70"/>
      <c r="B51" s="65" t="s">
        <v>69</v>
      </c>
      <c r="C51" s="66" t="s">
        <v>21</v>
      </c>
      <c r="D51" s="52">
        <v>1</v>
      </c>
      <c r="E51" s="52">
        <v>1</v>
      </c>
      <c r="F51" s="54">
        <f>3.35*2</f>
        <v>6.7</v>
      </c>
      <c r="G51" s="67"/>
      <c r="H51" s="57">
        <v>7.4999999999999997E-2</v>
      </c>
      <c r="I51" s="54">
        <f>D51*E51*F51*H51</f>
        <v>0.50249999999999995</v>
      </c>
      <c r="J51" s="67"/>
      <c r="K51" s="61"/>
      <c r="L51" s="75"/>
    </row>
    <row r="52" spans="1:14" ht="14.4" x14ac:dyDescent="0.25">
      <c r="A52" s="70"/>
      <c r="B52" s="65"/>
      <c r="C52" s="67"/>
      <c r="D52" s="67"/>
      <c r="E52" s="67"/>
      <c r="F52" s="67"/>
      <c r="G52" s="67"/>
      <c r="H52" s="67"/>
      <c r="I52" s="55">
        <f>SUM(I48:I51)</f>
        <v>40.522500000000008</v>
      </c>
      <c r="J52" s="67"/>
      <c r="K52" s="61">
        <v>120</v>
      </c>
      <c r="L52" s="75">
        <f>I52*K52</f>
        <v>4862.7000000000007</v>
      </c>
    </row>
    <row r="53" spans="1:14" ht="14.4" x14ac:dyDescent="0.25">
      <c r="A53" s="70"/>
      <c r="B53" s="65"/>
      <c r="C53" s="67"/>
      <c r="D53" s="67"/>
      <c r="E53" s="67"/>
      <c r="F53" s="67"/>
      <c r="G53" s="67"/>
      <c r="H53" s="67"/>
      <c r="I53" s="67"/>
      <c r="J53" s="67"/>
      <c r="K53" s="61"/>
      <c r="L53" s="75"/>
    </row>
    <row r="54" spans="1:14" ht="14.4" x14ac:dyDescent="0.25">
      <c r="A54" s="71"/>
      <c r="B54" s="72"/>
      <c r="C54" s="73"/>
      <c r="D54" s="73"/>
      <c r="E54" s="73"/>
      <c r="F54" s="73"/>
      <c r="G54" s="73"/>
      <c r="H54" s="73"/>
      <c r="I54" s="73"/>
      <c r="J54" s="73"/>
      <c r="K54" s="61"/>
      <c r="L54" s="75"/>
    </row>
    <row r="55" spans="1:14" ht="14.4" x14ac:dyDescent="0.25">
      <c r="A55" s="56">
        <v>12</v>
      </c>
      <c r="B55" s="59" t="s">
        <v>71</v>
      </c>
      <c r="C55" s="67"/>
      <c r="D55" s="67"/>
      <c r="E55" s="67"/>
      <c r="F55" s="67"/>
      <c r="G55" s="67"/>
      <c r="H55" s="67"/>
      <c r="I55" s="67"/>
      <c r="J55" s="67"/>
      <c r="K55" s="61"/>
      <c r="L55" s="75"/>
    </row>
    <row r="56" spans="1:14" ht="14.4" x14ac:dyDescent="0.25">
      <c r="A56" s="70"/>
      <c r="B56" s="69" t="s">
        <v>72</v>
      </c>
      <c r="C56" s="66" t="s">
        <v>73</v>
      </c>
      <c r="D56" s="52"/>
      <c r="E56" s="52"/>
      <c r="F56" s="54"/>
      <c r="G56" s="67"/>
      <c r="H56" s="53"/>
      <c r="I56" s="54">
        <f>'BBS (2)'!K10+'BBS (2)'!R29</f>
        <v>126.64846748971195</v>
      </c>
      <c r="J56" s="67"/>
      <c r="K56" s="61"/>
      <c r="L56" s="75"/>
    </row>
    <row r="57" spans="1:14" ht="14.4" x14ac:dyDescent="0.25">
      <c r="A57" s="70"/>
      <c r="B57" s="65"/>
      <c r="C57" s="67"/>
      <c r="D57" s="67"/>
      <c r="E57" s="67"/>
      <c r="F57" s="67"/>
      <c r="G57" s="67"/>
      <c r="H57" s="67"/>
      <c r="I57" s="55">
        <f>SUM(I56:I56)</f>
        <v>126.64846748971195</v>
      </c>
      <c r="J57" s="67"/>
      <c r="K57" s="61">
        <v>8</v>
      </c>
      <c r="L57" s="75">
        <f>I57*K57</f>
        <v>1013.1877399176956</v>
      </c>
      <c r="N57">
        <f>I57/6.93</f>
        <v>18.27539213415757</v>
      </c>
    </row>
    <row r="58" spans="1:14" ht="14.4" x14ac:dyDescent="0.25">
      <c r="A58" s="71"/>
      <c r="B58" s="72"/>
      <c r="C58" s="73"/>
      <c r="D58" s="73"/>
      <c r="E58" s="73"/>
      <c r="F58" s="73"/>
      <c r="G58" s="73"/>
      <c r="H58" s="73"/>
      <c r="I58" s="73"/>
      <c r="J58" s="73"/>
      <c r="K58" s="61"/>
      <c r="L58" s="75">
        <f>SUM(L11:L57)</f>
        <v>15515.698339917695</v>
      </c>
      <c r="M58" s="74" t="s">
        <v>88</v>
      </c>
      <c r="N58">
        <f>3.35*2</f>
        <v>6.7</v>
      </c>
    </row>
    <row r="59" spans="1:14" ht="14.4" x14ac:dyDescent="0.25">
      <c r="A59" s="71"/>
      <c r="B59" s="72"/>
      <c r="C59" s="73"/>
      <c r="D59" s="73"/>
      <c r="E59" s="73"/>
      <c r="F59" s="73"/>
      <c r="G59" s="73"/>
      <c r="H59" s="73"/>
      <c r="I59" s="73"/>
      <c r="J59" s="73"/>
      <c r="K59" s="61"/>
      <c r="L59" s="75">
        <f>L58/N58</f>
        <v>2315.7758716295066</v>
      </c>
      <c r="M59" s="74" t="s">
        <v>86</v>
      </c>
    </row>
  </sheetData>
  <mergeCells count="7">
    <mergeCell ref="A36:I36"/>
    <mergeCell ref="A46:I46"/>
    <mergeCell ref="A1:L1"/>
    <mergeCell ref="A2:L2"/>
    <mergeCell ref="A3:J3"/>
    <mergeCell ref="A8:J8"/>
    <mergeCell ref="A24:J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8C5A-8E48-4D73-8496-BF0A4A8DB515}">
  <dimension ref="A1:N54"/>
  <sheetViews>
    <sheetView topLeftCell="A38" workbookViewId="0">
      <selection activeCell="L54" sqref="L54"/>
    </sheetView>
  </sheetViews>
  <sheetFormatPr defaultRowHeight="13.8" x14ac:dyDescent="0.25"/>
  <cols>
    <col min="1" max="1" width="8" customWidth="1"/>
    <col min="2" max="2" width="39.88671875" style="2" customWidth="1"/>
    <col min="3" max="6" width="11.33203125" style="1" customWidth="1"/>
    <col min="7" max="7" width="11.5546875" style="1" customWidth="1"/>
    <col min="8" max="8" width="12.44140625" style="1" bestFit="1" customWidth="1"/>
    <col min="9" max="9" width="11.33203125" style="1" customWidth="1"/>
    <col min="10" max="10" width="20.21875" style="1" hidden="1" customWidth="1"/>
    <col min="11" max="11" width="8.88671875" style="60"/>
    <col min="12" max="12" width="12" style="60" bestFit="1" customWidth="1"/>
    <col min="13" max="13" width="11.5546875" bestFit="1" customWidth="1"/>
  </cols>
  <sheetData>
    <row r="1" spans="1:12" ht="24" customHeight="1" x14ac:dyDescent="0.25">
      <c r="A1" s="77" t="s">
        <v>76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</row>
    <row r="2" spans="1:12" ht="18" customHeight="1" x14ac:dyDescent="0.25">
      <c r="A2" s="80" t="s">
        <v>77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2"/>
    </row>
    <row r="3" spans="1:12" ht="18" customHeight="1" x14ac:dyDescent="0.25">
      <c r="A3" s="76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61"/>
      <c r="L3" s="61"/>
    </row>
    <row r="4" spans="1:12" ht="16.5" customHeight="1" x14ac:dyDescent="0.25">
      <c r="A4" s="62" t="s">
        <v>0</v>
      </c>
      <c r="B4" s="63" t="s">
        <v>1</v>
      </c>
      <c r="C4" s="64" t="s">
        <v>2</v>
      </c>
      <c r="D4" s="64" t="s">
        <v>3</v>
      </c>
      <c r="E4" s="64" t="s">
        <v>3</v>
      </c>
      <c r="F4" s="64" t="s">
        <v>4</v>
      </c>
      <c r="G4" s="64" t="s">
        <v>5</v>
      </c>
      <c r="H4" s="64" t="s">
        <v>6</v>
      </c>
      <c r="I4" s="64" t="s">
        <v>7</v>
      </c>
      <c r="J4" s="64" t="s">
        <v>8</v>
      </c>
      <c r="K4" s="61" t="s">
        <v>74</v>
      </c>
      <c r="L4" s="61" t="s">
        <v>75</v>
      </c>
    </row>
    <row r="5" spans="1:12" s="1" customFormat="1" ht="43.2" x14ac:dyDescent="0.25">
      <c r="A5" s="52">
        <v>1</v>
      </c>
      <c r="B5" s="65" t="s">
        <v>79</v>
      </c>
      <c r="C5" s="66" t="s">
        <v>9</v>
      </c>
      <c r="D5" s="52">
        <v>1</v>
      </c>
      <c r="E5" s="52">
        <v>2</v>
      </c>
      <c r="F5" s="53">
        <v>2.2000000000000002</v>
      </c>
      <c r="G5" s="53">
        <v>1.9</v>
      </c>
      <c r="H5" s="53">
        <v>1.2</v>
      </c>
      <c r="I5" s="54">
        <f>D5*E5*F5*G5*H5</f>
        <v>10.031999999999998</v>
      </c>
      <c r="J5" s="67" t="s">
        <v>80</v>
      </c>
      <c r="K5" s="61"/>
      <c r="L5" s="61"/>
    </row>
    <row r="6" spans="1:12" ht="28.8" x14ac:dyDescent="0.25">
      <c r="A6" s="68"/>
      <c r="B6" s="69" t="s">
        <v>10</v>
      </c>
      <c r="C6" s="66" t="s">
        <v>9</v>
      </c>
      <c r="D6" s="52">
        <v>1</v>
      </c>
      <c r="E6" s="52">
        <v>2</v>
      </c>
      <c r="F6" s="54">
        <v>1.1499999999999999</v>
      </c>
      <c r="G6" s="53">
        <v>1.2</v>
      </c>
      <c r="H6" s="53">
        <v>0.6</v>
      </c>
      <c r="I6" s="54">
        <f>D6*E6*F6*G6*H6</f>
        <v>1.6559999999999999</v>
      </c>
      <c r="J6" s="67" t="s">
        <v>81</v>
      </c>
      <c r="K6" s="61"/>
      <c r="L6" s="61"/>
    </row>
    <row r="7" spans="1:12" ht="14.4" x14ac:dyDescent="0.25">
      <c r="A7" s="70"/>
      <c r="B7" s="65"/>
      <c r="C7" s="67"/>
      <c r="D7" s="67"/>
      <c r="E7" s="67"/>
      <c r="F7" s="67"/>
      <c r="G7" s="67"/>
      <c r="H7" s="67"/>
      <c r="I7" s="55">
        <f>SUM(I5:I6)</f>
        <v>11.687999999999999</v>
      </c>
      <c r="J7" s="67"/>
      <c r="K7" s="61"/>
      <c r="L7" s="61"/>
    </row>
    <row r="8" spans="1:12" ht="14.4" x14ac:dyDescent="0.25">
      <c r="A8" s="76" t="s">
        <v>11</v>
      </c>
      <c r="B8" s="76"/>
      <c r="C8" s="76"/>
      <c r="D8" s="76"/>
      <c r="E8" s="76"/>
      <c r="F8" s="76"/>
      <c r="G8" s="76"/>
      <c r="H8" s="76"/>
      <c r="I8" s="76"/>
      <c r="J8" s="76"/>
      <c r="K8" s="61"/>
      <c r="L8" s="61"/>
    </row>
    <row r="9" spans="1:12" ht="28.8" x14ac:dyDescent="0.25">
      <c r="A9" s="56">
        <v>2</v>
      </c>
      <c r="B9" s="69" t="s">
        <v>12</v>
      </c>
      <c r="C9" s="66" t="s">
        <v>9</v>
      </c>
      <c r="D9" s="52">
        <v>1</v>
      </c>
      <c r="E9" s="52">
        <v>2</v>
      </c>
      <c r="F9" s="54">
        <v>1.35</v>
      </c>
      <c r="G9" s="54">
        <v>1.05</v>
      </c>
      <c r="H9" s="53">
        <v>0.1</v>
      </c>
      <c r="I9" s="54">
        <f t="shared" ref="I9:I10" si="0">D9*E9*F9*G9*H9</f>
        <v>0.28350000000000003</v>
      </c>
      <c r="J9" s="67" t="s">
        <v>82</v>
      </c>
      <c r="K9" s="61"/>
      <c r="L9" s="61"/>
    </row>
    <row r="10" spans="1:12" ht="14.4" x14ac:dyDescent="0.25">
      <c r="A10" s="70"/>
      <c r="B10" s="69" t="s">
        <v>10</v>
      </c>
      <c r="C10" s="66" t="s">
        <v>9</v>
      </c>
      <c r="D10" s="52">
        <v>1</v>
      </c>
      <c r="E10" s="52">
        <v>2</v>
      </c>
      <c r="F10" s="54">
        <v>3.12</v>
      </c>
      <c r="G10" s="53">
        <v>0.6</v>
      </c>
      <c r="H10" s="53">
        <v>0.1</v>
      </c>
      <c r="I10" s="54">
        <f t="shared" si="0"/>
        <v>0.37440000000000001</v>
      </c>
      <c r="J10" s="67"/>
      <c r="K10" s="61"/>
      <c r="L10" s="61"/>
    </row>
    <row r="11" spans="1:12" ht="14.4" x14ac:dyDescent="0.25">
      <c r="A11" s="70"/>
      <c r="B11" s="65"/>
      <c r="C11" s="67"/>
      <c r="D11" s="67"/>
      <c r="E11" s="67"/>
      <c r="F11" s="67"/>
      <c r="G11" s="67"/>
      <c r="H11" s="67"/>
      <c r="I11" s="55">
        <f>SUM(I9:I10)</f>
        <v>0.65790000000000004</v>
      </c>
      <c r="J11" s="67"/>
      <c r="K11" s="61">
        <v>600</v>
      </c>
      <c r="L11" s="75">
        <f>I11*K11</f>
        <v>394.74</v>
      </c>
    </row>
    <row r="12" spans="1:12" ht="14.4" x14ac:dyDescent="0.25">
      <c r="A12" s="70"/>
      <c r="B12" s="65"/>
      <c r="C12" s="67"/>
      <c r="D12" s="67"/>
      <c r="E12" s="67"/>
      <c r="F12" s="67"/>
      <c r="G12" s="67"/>
      <c r="H12" s="67"/>
      <c r="I12" s="67"/>
      <c r="J12" s="67"/>
      <c r="K12" s="61"/>
      <c r="L12" s="75"/>
    </row>
    <row r="13" spans="1:12" ht="14.4" x14ac:dyDescent="0.25">
      <c r="A13" s="56">
        <v>3</v>
      </c>
      <c r="B13" s="69" t="s">
        <v>13</v>
      </c>
      <c r="C13" s="66" t="s">
        <v>9</v>
      </c>
      <c r="D13" s="52">
        <v>1</v>
      </c>
      <c r="E13" s="52">
        <v>2</v>
      </c>
      <c r="F13" s="53">
        <v>1.2</v>
      </c>
      <c r="G13" s="53">
        <v>0.9</v>
      </c>
      <c r="H13" s="54">
        <v>0.35</v>
      </c>
      <c r="I13" s="54">
        <f>D13*E13*F13*G13*H13</f>
        <v>0.75600000000000001</v>
      </c>
      <c r="J13" s="66" t="s">
        <v>14</v>
      </c>
      <c r="K13" s="61"/>
      <c r="L13" s="75"/>
    </row>
    <row r="14" spans="1:12" ht="14.4" x14ac:dyDescent="0.25">
      <c r="A14" s="70"/>
      <c r="B14" s="65"/>
      <c r="C14" s="67"/>
      <c r="D14" s="67"/>
      <c r="E14" s="67"/>
      <c r="F14" s="67"/>
      <c r="G14" s="67"/>
      <c r="H14" s="67"/>
      <c r="I14" s="67"/>
      <c r="J14" s="67"/>
      <c r="K14" s="61"/>
      <c r="L14" s="75"/>
    </row>
    <row r="15" spans="1:12" ht="28.8" x14ac:dyDescent="0.25">
      <c r="A15" s="56">
        <v>4</v>
      </c>
      <c r="B15" s="69" t="s">
        <v>15</v>
      </c>
      <c r="C15" s="66" t="s">
        <v>9</v>
      </c>
      <c r="D15" s="52">
        <v>1</v>
      </c>
      <c r="E15" s="52">
        <v>2</v>
      </c>
      <c r="F15" s="54">
        <v>0.43</v>
      </c>
      <c r="G15" s="57">
        <v>0.34499999999999997</v>
      </c>
      <c r="H15" s="54">
        <v>0.15</v>
      </c>
      <c r="I15" s="54">
        <f>D15*E15*F15*G15*H15</f>
        <v>4.4504999999999996E-2</v>
      </c>
      <c r="J15" s="67"/>
      <c r="K15" s="61"/>
      <c r="L15" s="75"/>
    </row>
    <row r="16" spans="1:12" ht="14.4" x14ac:dyDescent="0.25">
      <c r="A16" s="70"/>
      <c r="B16" s="65"/>
      <c r="C16" s="67"/>
      <c r="D16" s="67"/>
      <c r="E16" s="67"/>
      <c r="F16" s="67"/>
      <c r="G16" s="67"/>
      <c r="H16" s="67"/>
      <c r="I16" s="67"/>
      <c r="J16" s="67"/>
      <c r="K16" s="61"/>
      <c r="L16" s="75"/>
    </row>
    <row r="17" spans="1:12" ht="43.2" x14ac:dyDescent="0.25">
      <c r="A17" s="52">
        <v>5</v>
      </c>
      <c r="B17" s="69" t="s">
        <v>16</v>
      </c>
      <c r="C17" s="66" t="s">
        <v>9</v>
      </c>
      <c r="D17" s="52">
        <v>1</v>
      </c>
      <c r="E17" s="52">
        <v>2</v>
      </c>
      <c r="F17" s="54">
        <v>0.23</v>
      </c>
      <c r="G17" s="54">
        <v>0.23</v>
      </c>
      <c r="H17" s="53">
        <f>2.1+1.2</f>
        <v>3.3</v>
      </c>
      <c r="I17" s="54">
        <f>D17*E17*F17*G17*H17</f>
        <v>0.34914000000000001</v>
      </c>
      <c r="J17" s="67" t="s">
        <v>83</v>
      </c>
      <c r="K17" s="61"/>
      <c r="L17" s="75"/>
    </row>
    <row r="18" spans="1:12" ht="14.4" x14ac:dyDescent="0.25">
      <c r="A18" s="70"/>
      <c r="B18" s="65"/>
      <c r="C18" s="67"/>
      <c r="D18" s="67"/>
      <c r="E18" s="67"/>
      <c r="F18" s="67"/>
      <c r="G18" s="67"/>
      <c r="H18" s="67"/>
      <c r="I18" s="67"/>
      <c r="J18" s="67"/>
      <c r="K18" s="61"/>
      <c r="L18" s="75"/>
    </row>
    <row r="19" spans="1:12" ht="28.8" x14ac:dyDescent="0.25">
      <c r="A19" s="56">
        <v>6</v>
      </c>
      <c r="B19" s="69" t="s">
        <v>17</v>
      </c>
      <c r="C19" s="66" t="s">
        <v>9</v>
      </c>
      <c r="D19" s="52">
        <v>1</v>
      </c>
      <c r="E19" s="52">
        <v>2</v>
      </c>
      <c r="F19" s="54">
        <v>3.12</v>
      </c>
      <c r="G19" s="54">
        <v>0.23</v>
      </c>
      <c r="H19" s="54">
        <v>0.15</v>
      </c>
      <c r="I19" s="54">
        <f>D19*E19*F19*G19*H19</f>
        <v>0.21528</v>
      </c>
      <c r="J19" s="67"/>
      <c r="K19" s="61"/>
      <c r="L19" s="75"/>
    </row>
    <row r="20" spans="1:12" ht="14.4" x14ac:dyDescent="0.25">
      <c r="A20" s="70"/>
      <c r="B20" s="65"/>
      <c r="C20" s="67"/>
      <c r="D20" s="67"/>
      <c r="E20" s="67"/>
      <c r="F20" s="67"/>
      <c r="G20" s="67"/>
      <c r="H20" s="67"/>
      <c r="I20" s="67"/>
      <c r="J20" s="67"/>
      <c r="K20" s="61"/>
      <c r="L20" s="75"/>
    </row>
    <row r="21" spans="1:12" ht="28.8" x14ac:dyDescent="0.25">
      <c r="A21" s="56">
        <v>7</v>
      </c>
      <c r="B21" s="69" t="s">
        <v>18</v>
      </c>
      <c r="C21" s="66" t="s">
        <v>9</v>
      </c>
      <c r="D21" s="52">
        <v>1</v>
      </c>
      <c r="E21" s="52">
        <v>2</v>
      </c>
      <c r="F21" s="54">
        <v>3.12</v>
      </c>
      <c r="G21" s="54">
        <v>0.23</v>
      </c>
      <c r="H21" s="54">
        <v>0.15</v>
      </c>
      <c r="I21" s="54">
        <f>D21*E21*F21*G21*H21</f>
        <v>0.21528</v>
      </c>
      <c r="J21" s="67"/>
      <c r="K21" s="61"/>
      <c r="L21" s="75"/>
    </row>
    <row r="22" spans="1:12" ht="14.4" x14ac:dyDescent="0.25">
      <c r="A22" s="70"/>
      <c r="B22" s="65"/>
      <c r="C22" s="67"/>
      <c r="D22" s="67"/>
      <c r="E22" s="67"/>
      <c r="F22" s="67"/>
      <c r="G22" s="67"/>
      <c r="H22" s="67"/>
      <c r="I22" s="58">
        <f>SUM(I13:I21)</f>
        <v>1.5802049999999999</v>
      </c>
      <c r="J22" s="67"/>
      <c r="K22" s="61">
        <v>1000</v>
      </c>
      <c r="L22" s="75">
        <f>I22*K22</f>
        <v>1580.2049999999999</v>
      </c>
    </row>
    <row r="23" spans="1:12" ht="14.4" x14ac:dyDescent="0.25">
      <c r="A23" s="70"/>
      <c r="B23" s="65"/>
      <c r="C23" s="67"/>
      <c r="D23" s="67"/>
      <c r="E23" s="67"/>
      <c r="F23" s="67"/>
      <c r="G23" s="67"/>
      <c r="H23" s="67"/>
      <c r="I23" s="67"/>
      <c r="J23" s="67"/>
      <c r="K23" s="61"/>
      <c r="L23" s="75"/>
    </row>
    <row r="24" spans="1:12" ht="14.4" x14ac:dyDescent="0.25">
      <c r="A24" s="76" t="s">
        <v>19</v>
      </c>
      <c r="B24" s="76"/>
      <c r="C24" s="76"/>
      <c r="D24" s="76"/>
      <c r="E24" s="76"/>
      <c r="F24" s="76"/>
      <c r="G24" s="76"/>
      <c r="H24" s="76"/>
      <c r="I24" s="76"/>
      <c r="J24" s="76"/>
      <c r="K24" s="61"/>
      <c r="L24" s="75"/>
    </row>
    <row r="25" spans="1:12" ht="28.8" x14ac:dyDescent="0.25">
      <c r="A25" s="56">
        <v>8</v>
      </c>
      <c r="B25" s="69" t="s">
        <v>20</v>
      </c>
      <c r="C25" s="66" t="s">
        <v>21</v>
      </c>
      <c r="D25" s="52">
        <v>2</v>
      </c>
      <c r="E25" s="52">
        <v>2</v>
      </c>
      <c r="F25" s="54">
        <v>1.35</v>
      </c>
      <c r="G25" s="67"/>
      <c r="H25" s="53">
        <v>0.1</v>
      </c>
      <c r="I25" s="54">
        <f>D25*E25*F25*H25</f>
        <v>0.54</v>
      </c>
      <c r="J25" s="67"/>
      <c r="K25" s="61"/>
      <c r="L25" s="75"/>
    </row>
    <row r="26" spans="1:12" ht="14.4" x14ac:dyDescent="0.25">
      <c r="A26" s="70"/>
      <c r="B26" s="65"/>
      <c r="C26" s="66" t="s">
        <v>21</v>
      </c>
      <c r="D26" s="52">
        <v>2</v>
      </c>
      <c r="E26" s="52">
        <v>2</v>
      </c>
      <c r="F26" s="54">
        <v>1.05</v>
      </c>
      <c r="G26" s="67"/>
      <c r="H26" s="53">
        <v>0.1</v>
      </c>
      <c r="I26" s="54">
        <f t="shared" ref="I26:I34" si="1">D26*E26*F26*H26</f>
        <v>0.42000000000000004</v>
      </c>
      <c r="J26" s="67"/>
      <c r="K26" s="61"/>
      <c r="L26" s="75"/>
    </row>
    <row r="27" spans="1:12" ht="14.4" x14ac:dyDescent="0.25">
      <c r="A27" s="70"/>
      <c r="B27" s="69" t="s">
        <v>22</v>
      </c>
      <c r="C27" s="66" t="s">
        <v>21</v>
      </c>
      <c r="D27" s="52">
        <v>2</v>
      </c>
      <c r="E27" s="52">
        <v>2</v>
      </c>
      <c r="F27" s="54">
        <v>3.12</v>
      </c>
      <c r="G27" s="67"/>
      <c r="H27" s="53">
        <v>0.1</v>
      </c>
      <c r="I27" s="54">
        <f t="shared" si="1"/>
        <v>1.2480000000000002</v>
      </c>
      <c r="J27" s="67"/>
      <c r="K27" s="61"/>
      <c r="L27" s="75"/>
    </row>
    <row r="28" spans="1:12" ht="14.4" x14ac:dyDescent="0.25">
      <c r="A28" s="70"/>
      <c r="B28" s="69" t="s">
        <v>23</v>
      </c>
      <c r="C28" s="66" t="s">
        <v>21</v>
      </c>
      <c r="D28" s="52">
        <v>2</v>
      </c>
      <c r="E28" s="52">
        <v>2</v>
      </c>
      <c r="F28" s="53">
        <v>1.2</v>
      </c>
      <c r="G28" s="67"/>
      <c r="H28" s="54">
        <v>0.35</v>
      </c>
      <c r="I28" s="54">
        <f t="shared" si="1"/>
        <v>1.68</v>
      </c>
      <c r="J28" s="67"/>
      <c r="K28" s="61"/>
      <c r="L28" s="75"/>
    </row>
    <row r="29" spans="1:12" ht="14.4" x14ac:dyDescent="0.25">
      <c r="A29" s="70"/>
      <c r="B29" s="69" t="s">
        <v>23</v>
      </c>
      <c r="C29" s="66" t="s">
        <v>21</v>
      </c>
      <c r="D29" s="52">
        <v>2</v>
      </c>
      <c r="E29" s="52">
        <v>2</v>
      </c>
      <c r="F29" s="53">
        <v>0.9</v>
      </c>
      <c r="G29" s="67"/>
      <c r="H29" s="54">
        <v>0.35</v>
      </c>
      <c r="I29" s="54">
        <f t="shared" si="1"/>
        <v>1.26</v>
      </c>
      <c r="J29" s="67"/>
      <c r="K29" s="61"/>
      <c r="L29" s="75"/>
    </row>
    <row r="30" spans="1:12" ht="14.4" x14ac:dyDescent="0.25">
      <c r="A30" s="70"/>
      <c r="B30" s="69" t="s">
        <v>24</v>
      </c>
      <c r="C30" s="66" t="s">
        <v>21</v>
      </c>
      <c r="D30" s="52">
        <v>2</v>
      </c>
      <c r="E30" s="52">
        <v>2</v>
      </c>
      <c r="F30" s="54">
        <v>0.43</v>
      </c>
      <c r="G30" s="67"/>
      <c r="H30" s="54">
        <v>0.15</v>
      </c>
      <c r="I30" s="54">
        <f t="shared" si="1"/>
        <v>0.25800000000000001</v>
      </c>
      <c r="J30" s="67"/>
      <c r="K30" s="61"/>
      <c r="L30" s="75"/>
    </row>
    <row r="31" spans="1:12" ht="14.4" x14ac:dyDescent="0.25">
      <c r="A31" s="70"/>
      <c r="B31" s="69" t="s">
        <v>24</v>
      </c>
      <c r="C31" s="66" t="s">
        <v>21</v>
      </c>
      <c r="D31" s="52">
        <v>2</v>
      </c>
      <c r="E31" s="52">
        <v>2</v>
      </c>
      <c r="F31" s="57">
        <v>0.34499999999999997</v>
      </c>
      <c r="G31" s="67"/>
      <c r="H31" s="54">
        <v>0.15</v>
      </c>
      <c r="I31" s="54">
        <f t="shared" si="1"/>
        <v>0.20699999999999999</v>
      </c>
      <c r="J31" s="67"/>
      <c r="K31" s="61"/>
      <c r="L31" s="75"/>
    </row>
    <row r="32" spans="1:12" ht="14.4" x14ac:dyDescent="0.25">
      <c r="A32" s="70"/>
      <c r="B32" s="69" t="s">
        <v>25</v>
      </c>
      <c r="C32" s="66" t="s">
        <v>21</v>
      </c>
      <c r="D32" s="52">
        <v>2</v>
      </c>
      <c r="E32" s="52">
        <v>4</v>
      </c>
      <c r="F32" s="54">
        <v>0.23</v>
      </c>
      <c r="G32" s="67"/>
      <c r="H32" s="53">
        <v>3.3</v>
      </c>
      <c r="I32" s="54">
        <f t="shared" si="1"/>
        <v>6.0720000000000001</v>
      </c>
      <c r="J32" s="67"/>
      <c r="K32" s="61"/>
      <c r="L32" s="75"/>
    </row>
    <row r="33" spans="1:12" ht="14.4" x14ac:dyDescent="0.25">
      <c r="A33" s="70"/>
      <c r="B33" s="69" t="s">
        <v>26</v>
      </c>
      <c r="C33" s="66" t="s">
        <v>21</v>
      </c>
      <c r="D33" s="52">
        <v>2</v>
      </c>
      <c r="E33" s="52">
        <v>2</v>
      </c>
      <c r="F33" s="54">
        <v>3.12</v>
      </c>
      <c r="G33" s="67"/>
      <c r="H33" s="54">
        <v>0.15</v>
      </c>
      <c r="I33" s="54">
        <f t="shared" si="1"/>
        <v>1.8719999999999999</v>
      </c>
      <c r="J33" s="67"/>
      <c r="K33" s="61"/>
      <c r="L33" s="75"/>
    </row>
    <row r="34" spans="1:12" ht="14.4" x14ac:dyDescent="0.25">
      <c r="A34" s="70"/>
      <c r="B34" s="69" t="s">
        <v>27</v>
      </c>
      <c r="C34" s="66" t="s">
        <v>21</v>
      </c>
      <c r="D34" s="52">
        <v>2</v>
      </c>
      <c r="E34" s="52">
        <v>2</v>
      </c>
      <c r="F34" s="54">
        <v>3.12</v>
      </c>
      <c r="G34" s="67"/>
      <c r="H34" s="54">
        <v>0.15</v>
      </c>
      <c r="I34" s="54">
        <f t="shared" si="1"/>
        <v>1.8719999999999999</v>
      </c>
      <c r="J34" s="67"/>
      <c r="K34" s="61"/>
      <c r="L34" s="75"/>
    </row>
    <row r="35" spans="1:12" ht="14.4" x14ac:dyDescent="0.25">
      <c r="A35" s="70"/>
      <c r="B35" s="65"/>
      <c r="C35" s="67"/>
      <c r="D35" s="67"/>
      <c r="E35" s="67"/>
      <c r="F35" s="67"/>
      <c r="G35" s="67"/>
      <c r="H35" s="67"/>
      <c r="I35" s="55">
        <f>SUM(I25:I34)</f>
        <v>15.428999999999998</v>
      </c>
      <c r="J35" s="67"/>
      <c r="K35" s="61">
        <v>300</v>
      </c>
      <c r="L35" s="75">
        <f>I35*K35</f>
        <v>4628.7</v>
      </c>
    </row>
    <row r="36" spans="1:12" ht="14.4" x14ac:dyDescent="0.25">
      <c r="A36" s="76" t="s">
        <v>31</v>
      </c>
      <c r="B36" s="76"/>
      <c r="C36" s="76"/>
      <c r="D36" s="76"/>
      <c r="E36" s="76"/>
      <c r="F36" s="76"/>
      <c r="G36" s="76"/>
      <c r="H36" s="76"/>
      <c r="I36" s="76"/>
      <c r="J36" s="67"/>
      <c r="K36" s="61"/>
      <c r="L36" s="75"/>
    </row>
    <row r="37" spans="1:12" ht="43.2" x14ac:dyDescent="0.25">
      <c r="A37" s="56">
        <v>10</v>
      </c>
      <c r="B37" s="65" t="s">
        <v>84</v>
      </c>
      <c r="C37" s="67"/>
      <c r="D37" s="67"/>
      <c r="E37" s="67"/>
      <c r="F37" s="67"/>
      <c r="G37" s="67"/>
      <c r="H37" s="67"/>
      <c r="I37" s="67"/>
      <c r="J37" s="67"/>
      <c r="K37" s="61"/>
      <c r="L37" s="75"/>
    </row>
    <row r="38" spans="1:12" ht="14.4" x14ac:dyDescent="0.25">
      <c r="A38" s="70"/>
      <c r="B38" s="69" t="s">
        <v>29</v>
      </c>
      <c r="C38" s="66" t="s">
        <v>9</v>
      </c>
      <c r="D38" s="52">
        <v>1</v>
      </c>
      <c r="E38" s="52">
        <v>2</v>
      </c>
      <c r="F38" s="54">
        <v>3.12</v>
      </c>
      <c r="G38" s="54">
        <v>0.46</v>
      </c>
      <c r="H38" s="54">
        <v>0.15</v>
      </c>
      <c r="I38" s="54">
        <f t="shared" ref="I38:I41" si="2">D38*E38*F38*G38*H38</f>
        <v>0.43056</v>
      </c>
      <c r="J38" s="67"/>
      <c r="K38" s="61"/>
      <c r="L38" s="75"/>
    </row>
    <row r="39" spans="1:12" ht="14.4" x14ac:dyDescent="0.25">
      <c r="A39" s="70"/>
      <c r="B39" s="69" t="s">
        <v>29</v>
      </c>
      <c r="C39" s="66" t="s">
        <v>9</v>
      </c>
      <c r="D39" s="52">
        <v>1</v>
      </c>
      <c r="E39" s="52">
        <v>2</v>
      </c>
      <c r="F39" s="54">
        <v>3.12</v>
      </c>
      <c r="G39" s="57">
        <v>0.34499999999999997</v>
      </c>
      <c r="H39" s="54">
        <v>0.15</v>
      </c>
      <c r="I39" s="54">
        <f t="shared" si="2"/>
        <v>0.32291999999999998</v>
      </c>
      <c r="J39" s="67"/>
      <c r="K39" s="61"/>
      <c r="L39" s="75"/>
    </row>
    <row r="40" spans="1:12" ht="14.4" x14ac:dyDescent="0.25">
      <c r="A40" s="70"/>
      <c r="B40" s="69" t="s">
        <v>29</v>
      </c>
      <c r="C40" s="66" t="s">
        <v>9</v>
      </c>
      <c r="D40" s="52">
        <v>1</v>
      </c>
      <c r="E40" s="52">
        <v>2</v>
      </c>
      <c r="F40" s="54">
        <v>3.12</v>
      </c>
      <c r="G40" s="54">
        <v>0.23</v>
      </c>
      <c r="H40" s="54">
        <v>0.65</v>
      </c>
      <c r="I40" s="54">
        <f t="shared" si="2"/>
        <v>0.93288000000000004</v>
      </c>
      <c r="J40" s="67"/>
      <c r="K40" s="61"/>
      <c r="L40" s="75"/>
    </row>
    <row r="41" spans="1:12" ht="14.4" x14ac:dyDescent="0.25">
      <c r="A41" s="70"/>
      <c r="B41" s="69" t="s">
        <v>30</v>
      </c>
      <c r="C41" s="66" t="s">
        <v>9</v>
      </c>
      <c r="D41" s="52">
        <v>1</v>
      </c>
      <c r="E41" s="52">
        <v>2</v>
      </c>
      <c r="F41" s="54">
        <v>3.12</v>
      </c>
      <c r="G41" s="54">
        <v>0.23</v>
      </c>
      <c r="H41" s="53">
        <v>1.8</v>
      </c>
      <c r="I41" s="54">
        <f t="shared" si="2"/>
        <v>2.5833600000000003</v>
      </c>
      <c r="J41" s="67"/>
      <c r="K41" s="61"/>
      <c r="L41" s="75"/>
    </row>
    <row r="42" spans="1:12" ht="14.4" x14ac:dyDescent="0.25">
      <c r="A42" s="70"/>
      <c r="B42" s="65"/>
      <c r="C42" s="67"/>
      <c r="D42" s="67"/>
      <c r="E42" s="67"/>
      <c r="F42" s="67"/>
      <c r="G42" s="67"/>
      <c r="H42" s="67"/>
      <c r="I42" s="55">
        <f>SUM(I38:I41)</f>
        <v>4.2697200000000004</v>
      </c>
      <c r="J42" s="67"/>
      <c r="K42" s="61">
        <v>1000</v>
      </c>
      <c r="L42" s="75">
        <f>I42*K42</f>
        <v>4269.72</v>
      </c>
    </row>
    <row r="43" spans="1:12" ht="14.4" x14ac:dyDescent="0.25">
      <c r="A43" s="76" t="s">
        <v>32</v>
      </c>
      <c r="B43" s="76"/>
      <c r="C43" s="76"/>
      <c r="D43" s="76"/>
      <c r="E43" s="76"/>
      <c r="F43" s="76"/>
      <c r="G43" s="76"/>
      <c r="H43" s="76"/>
      <c r="I43" s="76"/>
      <c r="J43" s="67"/>
      <c r="K43" s="61"/>
      <c r="L43" s="75"/>
    </row>
    <row r="44" spans="1:12" ht="43.2" x14ac:dyDescent="0.25">
      <c r="A44" s="56">
        <v>11</v>
      </c>
      <c r="B44" s="65" t="s">
        <v>85</v>
      </c>
      <c r="C44" s="67"/>
      <c r="D44" s="67"/>
      <c r="E44" s="67"/>
      <c r="F44" s="67"/>
      <c r="G44" s="67"/>
      <c r="H44" s="67"/>
      <c r="I44" s="67"/>
      <c r="J44" s="67"/>
      <c r="K44" s="61"/>
      <c r="L44" s="75"/>
    </row>
    <row r="45" spans="1:12" ht="14.4" x14ac:dyDescent="0.25">
      <c r="A45" s="70"/>
      <c r="B45" s="69" t="s">
        <v>33</v>
      </c>
      <c r="C45" s="66" t="s">
        <v>21</v>
      </c>
      <c r="D45" s="52">
        <v>1</v>
      </c>
      <c r="E45" s="52">
        <v>2</v>
      </c>
      <c r="F45" s="54">
        <f>3.35*2+0.23</f>
        <v>6.9300000000000006</v>
      </c>
      <c r="G45" s="67"/>
      <c r="H45" s="53">
        <v>2.7</v>
      </c>
      <c r="I45" s="54">
        <f>D45*E45*F45*H45</f>
        <v>37.422000000000004</v>
      </c>
      <c r="J45" s="67"/>
      <c r="K45" s="61"/>
      <c r="L45" s="75"/>
    </row>
    <row r="46" spans="1:12" ht="14.4" x14ac:dyDescent="0.25">
      <c r="A46" s="70"/>
      <c r="B46" s="59" t="s">
        <v>69</v>
      </c>
      <c r="C46" s="66" t="s">
        <v>21</v>
      </c>
      <c r="D46" s="52">
        <v>1</v>
      </c>
      <c r="E46" s="52">
        <v>2</v>
      </c>
      <c r="F46" s="54">
        <f>3.35*2+0.23</f>
        <v>6.9300000000000006</v>
      </c>
      <c r="G46" s="67"/>
      <c r="H46" s="53">
        <v>7.4999999999999997E-2</v>
      </c>
      <c r="I46" s="54">
        <f>D46*E46*F46*H46</f>
        <v>1.0395000000000001</v>
      </c>
      <c r="J46" s="67"/>
      <c r="K46" s="61"/>
      <c r="L46" s="75"/>
    </row>
    <row r="47" spans="1:12" ht="14.4" x14ac:dyDescent="0.25">
      <c r="A47" s="70"/>
      <c r="B47" s="65"/>
      <c r="C47" s="67"/>
      <c r="D47" s="67"/>
      <c r="E47" s="67"/>
      <c r="F47" s="67"/>
      <c r="G47" s="67"/>
      <c r="H47" s="67"/>
      <c r="I47" s="55">
        <f>SUM(I45:I46)</f>
        <v>38.461500000000001</v>
      </c>
      <c r="J47" s="67"/>
      <c r="K47" s="61">
        <v>120</v>
      </c>
      <c r="L47" s="75">
        <f>I47*K47</f>
        <v>4615.38</v>
      </c>
    </row>
    <row r="48" spans="1:12" ht="14.4" x14ac:dyDescent="0.25">
      <c r="A48" s="70"/>
      <c r="B48" s="65"/>
      <c r="C48" s="67"/>
      <c r="D48" s="67"/>
      <c r="E48" s="67"/>
      <c r="F48" s="67"/>
      <c r="G48" s="67"/>
      <c r="H48" s="67"/>
      <c r="I48" s="67"/>
      <c r="J48" s="67"/>
      <c r="K48" s="61"/>
      <c r="L48" s="75"/>
    </row>
    <row r="49" spans="1:14" ht="14.4" x14ac:dyDescent="0.25">
      <c r="A49" s="71"/>
      <c r="B49" s="72"/>
      <c r="C49" s="73"/>
      <c r="D49" s="73"/>
      <c r="E49" s="73"/>
      <c r="F49" s="73"/>
      <c r="G49" s="73"/>
      <c r="H49" s="73"/>
      <c r="I49" s="73"/>
      <c r="J49" s="73"/>
      <c r="K49" s="61"/>
      <c r="L49" s="75"/>
    </row>
    <row r="50" spans="1:14" ht="14.4" x14ac:dyDescent="0.25">
      <c r="A50" s="56">
        <v>11</v>
      </c>
      <c r="B50" s="59" t="s">
        <v>71</v>
      </c>
      <c r="C50" s="67"/>
      <c r="D50" s="67"/>
      <c r="E50" s="67"/>
      <c r="F50" s="67"/>
      <c r="G50" s="67"/>
      <c r="H50" s="67"/>
      <c r="I50" s="67"/>
      <c r="J50" s="67"/>
      <c r="K50" s="61"/>
      <c r="L50" s="75"/>
    </row>
    <row r="51" spans="1:14" ht="14.4" x14ac:dyDescent="0.25">
      <c r="A51" s="70"/>
      <c r="B51" s="69" t="s">
        <v>72</v>
      </c>
      <c r="C51" s="66" t="s">
        <v>73</v>
      </c>
      <c r="D51" s="52"/>
      <c r="E51" s="52"/>
      <c r="F51" s="54"/>
      <c r="G51" s="67"/>
      <c r="H51" s="53"/>
      <c r="I51" s="54">
        <f>'BBS (2)'!K10+'BBS (2)'!R29</f>
        <v>126.64846748971195</v>
      </c>
      <c r="J51" s="67"/>
      <c r="K51" s="61"/>
      <c r="L51" s="75"/>
    </row>
    <row r="52" spans="1:14" ht="14.4" x14ac:dyDescent="0.25">
      <c r="A52" s="70"/>
      <c r="B52" s="65"/>
      <c r="C52" s="67"/>
      <c r="D52" s="67"/>
      <c r="E52" s="67"/>
      <c r="F52" s="67"/>
      <c r="G52" s="67"/>
      <c r="H52" s="67"/>
      <c r="I52" s="55">
        <f>SUM(I51:I51)</f>
        <v>126.64846748971195</v>
      </c>
      <c r="J52" s="67"/>
      <c r="K52" s="61">
        <v>8</v>
      </c>
      <c r="L52" s="75">
        <f>I52*K52</f>
        <v>1013.1877399176956</v>
      </c>
      <c r="N52">
        <f>I52/6.93</f>
        <v>18.27539213415757</v>
      </c>
    </row>
    <row r="53" spans="1:14" ht="14.4" x14ac:dyDescent="0.25">
      <c r="A53" s="71"/>
      <c r="B53" s="72"/>
      <c r="C53" s="73"/>
      <c r="D53" s="73"/>
      <c r="E53" s="73"/>
      <c r="F53" s="73"/>
      <c r="G53" s="73"/>
      <c r="H53" s="73"/>
      <c r="I53" s="73"/>
      <c r="J53" s="73"/>
      <c r="K53" s="61"/>
      <c r="L53" s="75">
        <f>SUM(L11:L52)</f>
        <v>16501.932739917695</v>
      </c>
      <c r="M53" s="74" t="s">
        <v>89</v>
      </c>
    </row>
    <row r="54" spans="1:14" ht="14.4" x14ac:dyDescent="0.25">
      <c r="A54" s="71"/>
      <c r="B54" s="72"/>
      <c r="C54" s="73"/>
      <c r="D54" s="73"/>
      <c r="E54" s="73"/>
      <c r="F54" s="73"/>
      <c r="G54" s="73"/>
      <c r="H54" s="73"/>
      <c r="I54" s="73"/>
      <c r="J54" s="73"/>
      <c r="K54" s="61"/>
      <c r="L54" s="75">
        <f>L53/6.7</f>
        <v>2462.9750358086112</v>
      </c>
      <c r="M54" s="74" t="s">
        <v>86</v>
      </c>
    </row>
  </sheetData>
  <mergeCells count="7">
    <mergeCell ref="A36:I36"/>
    <mergeCell ref="A43:I43"/>
    <mergeCell ref="A1:L1"/>
    <mergeCell ref="A2:L2"/>
    <mergeCell ref="A3:J3"/>
    <mergeCell ref="A8:J8"/>
    <mergeCell ref="A24:J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C94D-7E4E-4716-AB5C-E77350171EAA}">
  <dimension ref="A1:Y29"/>
  <sheetViews>
    <sheetView view="pageBreakPreview" topLeftCell="A10" zoomScaleNormal="90" zoomScaleSheetLayoutView="100" workbookViewId="0">
      <selection activeCell="E17" sqref="E17"/>
    </sheetView>
  </sheetViews>
  <sheetFormatPr defaultRowHeight="14.4" x14ac:dyDescent="0.3"/>
  <cols>
    <col min="1" max="1" width="11" style="48" bestFit="1" customWidth="1"/>
    <col min="2" max="2" width="15.109375" style="4" bestFit="1" customWidth="1"/>
    <col min="3" max="3" width="9.21875" style="3" customWidth="1"/>
    <col min="4" max="4" width="8.88671875" style="3" customWidth="1"/>
    <col min="5" max="5" width="6.5546875" style="49" bestFit="1" customWidth="1"/>
    <col min="6" max="6" width="6.88671875" style="49" bestFit="1" customWidth="1"/>
    <col min="7" max="7" width="10.109375" style="3" bestFit="1" customWidth="1"/>
    <col min="8" max="8" width="11.44140625" style="3" bestFit="1" customWidth="1"/>
    <col min="9" max="9" width="8.88671875" style="50"/>
    <col min="10" max="10" width="11.21875" style="3" customWidth="1"/>
    <col min="11" max="11" width="9.33203125" style="47" bestFit="1" customWidth="1"/>
    <col min="12" max="17" width="8.88671875" style="3"/>
    <col min="18" max="18" width="9.33203125" style="4" bestFit="1" customWidth="1"/>
    <col min="19" max="16384" width="8.88671875" style="4"/>
  </cols>
  <sheetData>
    <row r="1" spans="1:25" x14ac:dyDescent="0.3">
      <c r="A1" s="86" t="s">
        <v>35</v>
      </c>
      <c r="B1" s="87"/>
      <c r="C1" s="87"/>
      <c r="D1" s="87"/>
      <c r="E1" s="87"/>
      <c r="F1" s="87"/>
      <c r="G1" s="87"/>
      <c r="H1" s="87"/>
      <c r="I1" s="87"/>
      <c r="J1" s="87"/>
      <c r="K1" s="88"/>
      <c r="Y1" s="3"/>
    </row>
    <row r="2" spans="1:25" x14ac:dyDescent="0.3">
      <c r="A2" s="89" t="s">
        <v>36</v>
      </c>
      <c r="B2" s="90"/>
      <c r="C2" s="90"/>
      <c r="D2" s="90"/>
      <c r="E2" s="90"/>
      <c r="F2" s="90"/>
      <c r="G2" s="90"/>
      <c r="H2" s="90"/>
      <c r="I2" s="90"/>
      <c r="J2" s="90"/>
      <c r="K2" s="91"/>
      <c r="Y2" s="3"/>
    </row>
    <row r="3" spans="1:25" x14ac:dyDescent="0.3">
      <c r="A3" s="5" t="s">
        <v>37</v>
      </c>
      <c r="B3" s="92" t="s">
        <v>38</v>
      </c>
      <c r="C3" s="92"/>
      <c r="D3" s="92"/>
      <c r="E3" s="92"/>
      <c r="F3" s="92"/>
      <c r="G3" s="92"/>
      <c r="H3" s="92"/>
      <c r="I3" s="92"/>
      <c r="J3" s="92"/>
      <c r="K3" s="92"/>
      <c r="Y3" s="3"/>
    </row>
    <row r="4" spans="1:25" x14ac:dyDescent="0.3">
      <c r="A4" s="5"/>
      <c r="B4" s="7">
        <v>900</v>
      </c>
      <c r="C4" s="7">
        <v>1200</v>
      </c>
      <c r="D4" s="7"/>
      <c r="E4" s="8"/>
      <c r="F4" s="8"/>
      <c r="G4" s="7"/>
      <c r="H4" s="7"/>
      <c r="I4" s="9"/>
      <c r="J4" s="7"/>
      <c r="K4" s="10"/>
      <c r="Y4" s="3"/>
    </row>
    <row r="5" spans="1:25" ht="28.8" x14ac:dyDescent="0.3">
      <c r="A5" s="11" t="s">
        <v>39</v>
      </c>
      <c r="B5" s="11" t="s">
        <v>40</v>
      </c>
      <c r="C5" s="11" t="s">
        <v>41</v>
      </c>
      <c r="D5" s="11" t="s">
        <v>42</v>
      </c>
      <c r="E5" s="12" t="s">
        <v>42</v>
      </c>
      <c r="F5" s="12" t="s">
        <v>43</v>
      </c>
      <c r="G5" s="11" t="s">
        <v>44</v>
      </c>
      <c r="H5" s="11" t="s">
        <v>45</v>
      </c>
      <c r="I5" s="12" t="s">
        <v>46</v>
      </c>
      <c r="J5" s="11" t="s">
        <v>47</v>
      </c>
      <c r="K5" s="13" t="s">
        <v>48</v>
      </c>
      <c r="Y5" s="3"/>
    </row>
    <row r="6" spans="1:25" x14ac:dyDescent="0.3">
      <c r="A6" s="11">
        <v>1</v>
      </c>
      <c r="B6" s="14" t="s">
        <v>49</v>
      </c>
      <c r="C6" s="15"/>
      <c r="D6" s="15">
        <v>3</v>
      </c>
      <c r="E6" s="16">
        <v>1</v>
      </c>
      <c r="F6" s="16">
        <v>12</v>
      </c>
      <c r="G6" s="15">
        <f>B4-50-50</f>
        <v>800</v>
      </c>
      <c r="H6" s="15">
        <f>G6*F6*E6*D6</f>
        <v>28800</v>
      </c>
      <c r="I6" s="16">
        <v>10</v>
      </c>
      <c r="J6" s="17">
        <f>I6*I6/162</f>
        <v>0.61728395061728392</v>
      </c>
      <c r="K6" s="18">
        <f>J6*H6/1000</f>
        <v>17.777777777777779</v>
      </c>
      <c r="S6" s="4">
        <f>1100/100+1</f>
        <v>12</v>
      </c>
      <c r="Y6" s="3">
        <f>B4/200+1</f>
        <v>5.5</v>
      </c>
    </row>
    <row r="7" spans="1:25" x14ac:dyDescent="0.3">
      <c r="A7" s="11"/>
      <c r="B7" s="14"/>
      <c r="C7" s="15"/>
      <c r="D7" s="15">
        <v>3</v>
      </c>
      <c r="E7" s="16">
        <v>1</v>
      </c>
      <c r="F7" s="16">
        <v>9</v>
      </c>
      <c r="G7" s="15">
        <f>G6</f>
        <v>800</v>
      </c>
      <c r="H7" s="15">
        <f>G7*F7*E7*D7</f>
        <v>21600</v>
      </c>
      <c r="I7" s="16">
        <v>10</v>
      </c>
      <c r="J7" s="17">
        <f>I7*I7/162</f>
        <v>0.61728395061728392</v>
      </c>
      <c r="K7" s="18">
        <f>J7*H7/1000</f>
        <v>13.333333333333332</v>
      </c>
      <c r="S7" s="4">
        <f>900/100+1</f>
        <v>10</v>
      </c>
      <c r="Y7" s="3"/>
    </row>
    <row r="8" spans="1:25" ht="16.2" customHeight="1" x14ac:dyDescent="0.3">
      <c r="A8" s="11">
        <v>2</v>
      </c>
      <c r="B8" s="14" t="s">
        <v>69</v>
      </c>
      <c r="C8" s="15"/>
      <c r="D8" s="15">
        <v>3</v>
      </c>
      <c r="E8" s="16">
        <v>1</v>
      </c>
      <c r="F8" s="16">
        <v>8</v>
      </c>
      <c r="G8" s="15">
        <f>C4-50-50</f>
        <v>1100</v>
      </c>
      <c r="H8" s="15">
        <f>G8*F8*E8*D8</f>
        <v>26400</v>
      </c>
      <c r="I8" s="16">
        <v>8</v>
      </c>
      <c r="J8" s="17">
        <f>I8*I8/162</f>
        <v>0.39506172839506171</v>
      </c>
      <c r="K8" s="18">
        <f>J8*H8/1000</f>
        <v>10.429629629629629</v>
      </c>
      <c r="S8" s="4">
        <f>1200/150+1</f>
        <v>9</v>
      </c>
      <c r="Y8" s="3">
        <f>C4/200+1</f>
        <v>7</v>
      </c>
    </row>
    <row r="9" spans="1:25" ht="16.2" customHeight="1" x14ac:dyDescent="0.3">
      <c r="A9" s="11"/>
      <c r="B9" s="14"/>
      <c r="C9" s="15"/>
      <c r="D9" s="15">
        <v>3</v>
      </c>
      <c r="E9" s="16">
        <v>1</v>
      </c>
      <c r="F9" s="16">
        <v>6</v>
      </c>
      <c r="G9" s="15">
        <f>G8</f>
        <v>1100</v>
      </c>
      <c r="H9" s="15">
        <f>G9*F9*E9*D9</f>
        <v>19800</v>
      </c>
      <c r="I9" s="16">
        <v>8</v>
      </c>
      <c r="J9" s="17">
        <f>I9*I9/162</f>
        <v>0.39506172839506171</v>
      </c>
      <c r="K9" s="18">
        <f>J9*H9/1000</f>
        <v>7.822222222222222</v>
      </c>
      <c r="S9" s="4">
        <f>900/150+1</f>
        <v>7</v>
      </c>
      <c r="Y9" s="3"/>
    </row>
    <row r="10" spans="1:25" x14ac:dyDescent="0.3">
      <c r="A10" s="11"/>
      <c r="B10" s="14"/>
      <c r="C10" s="15"/>
      <c r="D10" s="15"/>
      <c r="E10" s="16"/>
      <c r="F10" s="16"/>
      <c r="G10" s="15"/>
      <c r="H10" s="15"/>
      <c r="I10" s="16"/>
      <c r="J10" s="15"/>
      <c r="K10" s="19">
        <f>SUM(K6:K9)</f>
        <v>49.36296296296296</v>
      </c>
    </row>
    <row r="11" spans="1:25" x14ac:dyDescent="0.3">
      <c r="A11" s="20"/>
      <c r="B11" s="21"/>
      <c r="C11" s="22"/>
      <c r="D11" s="22"/>
      <c r="E11" s="23"/>
      <c r="F11" s="23"/>
      <c r="G11" s="22"/>
      <c r="H11" s="22"/>
      <c r="I11" s="23"/>
      <c r="J11" s="22"/>
      <c r="K11" s="24"/>
    </row>
    <row r="12" spans="1:25" ht="28.8" customHeight="1" x14ac:dyDescent="0.3">
      <c r="A12" s="5" t="s">
        <v>50</v>
      </c>
      <c r="B12" s="83" t="s">
        <v>40</v>
      </c>
      <c r="C12" s="84"/>
      <c r="D12" s="85"/>
      <c r="E12" s="83" t="s">
        <v>51</v>
      </c>
      <c r="F12" s="84"/>
      <c r="G12" s="85"/>
      <c r="H12" s="5" t="s">
        <v>52</v>
      </c>
      <c r="I12" s="25" t="s">
        <v>53</v>
      </c>
      <c r="J12" s="25" t="s">
        <v>54</v>
      </c>
      <c r="K12" s="13" t="s">
        <v>47</v>
      </c>
      <c r="L12" s="5" t="s">
        <v>55</v>
      </c>
      <c r="M12" s="26" t="s">
        <v>56</v>
      </c>
      <c r="N12" s="26" t="s">
        <v>57</v>
      </c>
      <c r="O12" s="26" t="s">
        <v>58</v>
      </c>
      <c r="P12" s="26" t="s">
        <v>59</v>
      </c>
      <c r="Q12" s="5" t="s">
        <v>60</v>
      </c>
      <c r="R12" s="5"/>
    </row>
    <row r="13" spans="1:25" s="35" customFormat="1" x14ac:dyDescent="0.3">
      <c r="A13" s="27"/>
      <c r="B13" s="28" t="s">
        <v>61</v>
      </c>
      <c r="C13" s="29"/>
      <c r="D13" s="29"/>
      <c r="E13" s="30"/>
      <c r="F13" s="30"/>
      <c r="G13" s="29"/>
      <c r="H13" s="29"/>
      <c r="I13" s="31"/>
      <c r="J13" s="29"/>
      <c r="K13" s="32"/>
      <c r="L13" s="33"/>
      <c r="M13" s="33"/>
      <c r="N13" s="33"/>
      <c r="O13" s="33"/>
      <c r="P13" s="33"/>
      <c r="Q13" s="33"/>
      <c r="R13" s="34"/>
    </row>
    <row r="14" spans="1:25" x14ac:dyDescent="0.3">
      <c r="A14" s="36"/>
      <c r="B14" s="6"/>
      <c r="C14" s="36"/>
      <c r="D14" s="8"/>
      <c r="E14" s="8"/>
      <c r="F14" s="8"/>
      <c r="G14" s="8"/>
      <c r="H14" s="38"/>
      <c r="I14" s="8"/>
      <c r="J14" s="38"/>
      <c r="K14" s="39"/>
      <c r="L14" s="38"/>
      <c r="M14" s="36"/>
      <c r="N14" s="38"/>
      <c r="O14" s="38"/>
      <c r="P14" s="38"/>
      <c r="Q14" s="36"/>
      <c r="R14" s="36"/>
    </row>
    <row r="15" spans="1:25" x14ac:dyDescent="0.3">
      <c r="A15" s="36">
        <v>3</v>
      </c>
      <c r="B15" s="37" t="s">
        <v>63</v>
      </c>
      <c r="C15" s="36">
        <f>0.6+0.6+2.1</f>
        <v>3.3</v>
      </c>
      <c r="D15" s="36">
        <f>C15-0.1-0.025</f>
        <v>3.1749999999999998</v>
      </c>
      <c r="E15" s="8">
        <v>2</v>
      </c>
      <c r="F15" s="8">
        <v>1</v>
      </c>
      <c r="G15" s="36">
        <v>6</v>
      </c>
      <c r="H15" s="38">
        <f>D15</f>
        <v>3.1749999999999998</v>
      </c>
      <c r="I15" s="8">
        <v>12</v>
      </c>
      <c r="J15" s="38">
        <f t="shared" ref="J15:J16" si="0">E15*F15*H15*G15</f>
        <v>38.099999999999994</v>
      </c>
      <c r="K15" s="39">
        <f t="shared" ref="K15:K16" si="1">I15*I15/162</f>
        <v>0.88888888888888884</v>
      </c>
      <c r="L15" s="38"/>
      <c r="M15" s="38"/>
      <c r="N15" s="38">
        <f>J15*K15</f>
        <v>33.86666666666666</v>
      </c>
      <c r="O15" s="7"/>
      <c r="P15" s="4"/>
      <c r="Q15" s="36"/>
      <c r="R15" s="36"/>
    </row>
    <row r="16" spans="1:25" x14ac:dyDescent="0.3">
      <c r="A16" s="36"/>
      <c r="B16" s="37" t="s">
        <v>62</v>
      </c>
      <c r="C16" s="36">
        <f>D15-0.3</f>
        <v>2.875</v>
      </c>
      <c r="D16" s="8">
        <f>C16/0.15+1</f>
        <v>20.166666666666668</v>
      </c>
      <c r="E16" s="8">
        <v>2</v>
      </c>
      <c r="F16" s="8">
        <v>1</v>
      </c>
      <c r="G16" s="8">
        <f>D16</f>
        <v>20.166666666666668</v>
      </c>
      <c r="H16" s="38">
        <f>0.23*2+0.23*2-0.025*4+2*10*0.008-4*2*0.008</f>
        <v>0.91600000000000015</v>
      </c>
      <c r="I16" s="8">
        <v>8</v>
      </c>
      <c r="J16" s="38">
        <f t="shared" si="0"/>
        <v>36.945333333333345</v>
      </c>
      <c r="K16" s="39">
        <f t="shared" si="1"/>
        <v>0.39506172839506171</v>
      </c>
      <c r="L16" s="38">
        <f>J16*K16</f>
        <v>14.595687242798357</v>
      </c>
      <c r="M16" s="36"/>
      <c r="N16" s="38"/>
      <c r="O16" s="38"/>
      <c r="P16" s="38"/>
      <c r="Q16" s="36"/>
      <c r="R16" s="36"/>
    </row>
    <row r="17" spans="1:18" x14ac:dyDescent="0.3">
      <c r="A17" s="36"/>
      <c r="B17" s="6"/>
      <c r="C17" s="36"/>
      <c r="D17" s="8"/>
      <c r="E17" s="8"/>
      <c r="F17" s="8"/>
      <c r="G17" s="8"/>
      <c r="H17" s="38"/>
      <c r="I17" s="8"/>
      <c r="J17" s="38"/>
      <c r="K17" s="39"/>
      <c r="L17" s="38"/>
      <c r="M17" s="36"/>
      <c r="N17" s="38"/>
      <c r="O17" s="38"/>
      <c r="P17" s="38"/>
      <c r="Q17" s="36"/>
      <c r="R17" s="36"/>
    </row>
    <row r="18" spans="1:18" x14ac:dyDescent="0.3">
      <c r="A18" s="36"/>
      <c r="B18" s="6"/>
      <c r="C18" s="38"/>
      <c r="D18" s="8"/>
      <c r="E18" s="8"/>
      <c r="F18" s="8"/>
      <c r="G18" s="8"/>
      <c r="H18" s="38"/>
      <c r="I18" s="8"/>
      <c r="J18" s="38"/>
      <c r="K18" s="39"/>
      <c r="L18" s="38"/>
      <c r="M18" s="36"/>
      <c r="N18" s="38"/>
      <c r="O18" s="38"/>
      <c r="P18" s="38"/>
      <c r="Q18" s="36"/>
      <c r="R18" s="36"/>
    </row>
    <row r="19" spans="1:18" s="35" customFormat="1" x14ac:dyDescent="0.3">
      <c r="A19" s="41"/>
      <c r="B19" s="41" t="s">
        <v>64</v>
      </c>
      <c r="C19" s="41"/>
      <c r="D19" s="41"/>
      <c r="E19" s="41"/>
      <c r="F19" s="41"/>
      <c r="G19" s="41"/>
      <c r="H19" s="41"/>
      <c r="I19" s="42"/>
      <c r="J19" s="42"/>
      <c r="K19" s="43"/>
      <c r="L19" s="41"/>
      <c r="M19" s="44"/>
      <c r="N19" s="44"/>
      <c r="O19" s="44"/>
      <c r="P19" s="44"/>
      <c r="Q19" s="41"/>
      <c r="R19" s="41"/>
    </row>
    <row r="20" spans="1:18" x14ac:dyDescent="0.3">
      <c r="A20" s="37"/>
      <c r="B20" s="37"/>
      <c r="C20" s="40"/>
      <c r="D20" s="40"/>
      <c r="E20" s="8"/>
      <c r="F20" s="8"/>
      <c r="G20" s="9"/>
      <c r="H20" s="40"/>
      <c r="I20" s="9"/>
      <c r="J20" s="40"/>
      <c r="K20" s="39"/>
      <c r="L20" s="38"/>
      <c r="M20" s="40"/>
      <c r="N20" s="40"/>
      <c r="O20" s="46"/>
      <c r="P20" s="40"/>
      <c r="Q20" s="40"/>
      <c r="R20" s="37"/>
    </row>
    <row r="21" spans="1:18" ht="14.25" customHeight="1" x14ac:dyDescent="0.3">
      <c r="A21" s="45" t="s">
        <v>68</v>
      </c>
      <c r="B21" s="37" t="s">
        <v>65</v>
      </c>
      <c r="C21" s="40">
        <v>3.35</v>
      </c>
      <c r="D21" s="40">
        <f>C21</f>
        <v>3.35</v>
      </c>
      <c r="E21" s="8">
        <v>2</v>
      </c>
      <c r="F21" s="8">
        <v>1</v>
      </c>
      <c r="G21" s="9">
        <v>3</v>
      </c>
      <c r="H21" s="40">
        <f>D21</f>
        <v>3.35</v>
      </c>
      <c r="I21" s="9">
        <v>12</v>
      </c>
      <c r="J21" s="40">
        <f>E21*F21*H21*G21</f>
        <v>20.100000000000001</v>
      </c>
      <c r="K21" s="39">
        <f>I21*I21/162</f>
        <v>0.88888888888888884</v>
      </c>
      <c r="L21" s="40"/>
      <c r="M21" s="40"/>
      <c r="N21" s="40">
        <f>J21*K21</f>
        <v>17.866666666666667</v>
      </c>
      <c r="O21" s="4"/>
      <c r="P21" s="40"/>
      <c r="Q21" s="40"/>
      <c r="R21" s="37"/>
    </row>
    <row r="22" spans="1:18" ht="14.25" customHeight="1" x14ac:dyDescent="0.3">
      <c r="A22" s="37"/>
      <c r="B22" s="37" t="s">
        <v>66</v>
      </c>
      <c r="C22" s="40">
        <f>C21</f>
        <v>3.35</v>
      </c>
      <c r="D22" s="40">
        <f>D21</f>
        <v>3.35</v>
      </c>
      <c r="E22" s="8">
        <f>E21</f>
        <v>2</v>
      </c>
      <c r="F22" s="8">
        <v>1</v>
      </c>
      <c r="G22" s="9">
        <v>3</v>
      </c>
      <c r="H22" s="40">
        <f>H21</f>
        <v>3.35</v>
      </c>
      <c r="I22" s="9">
        <v>12</v>
      </c>
      <c r="J22" s="40">
        <f>E22*F22*H22*G22</f>
        <v>20.100000000000001</v>
      </c>
      <c r="K22" s="39">
        <f>I22*I22/162</f>
        <v>0.88888888888888884</v>
      </c>
      <c r="L22" s="40"/>
      <c r="M22" s="40"/>
      <c r="N22" s="40">
        <f>J22*K22</f>
        <v>17.866666666666667</v>
      </c>
      <c r="O22" s="4"/>
      <c r="P22" s="40"/>
      <c r="Q22" s="40"/>
      <c r="R22" s="37"/>
    </row>
    <row r="23" spans="1:18" x14ac:dyDescent="0.3">
      <c r="A23" s="37"/>
      <c r="B23" s="37" t="s">
        <v>67</v>
      </c>
      <c r="C23" s="40">
        <f>3.35-0.23</f>
        <v>3.12</v>
      </c>
      <c r="D23" s="40">
        <f>C23</f>
        <v>3.12</v>
      </c>
      <c r="E23" s="8">
        <f>E22</f>
        <v>2</v>
      </c>
      <c r="F23" s="8">
        <v>1</v>
      </c>
      <c r="G23" s="9">
        <f>C23/0.2+1</f>
        <v>16.600000000000001</v>
      </c>
      <c r="H23" s="40">
        <f>(230-25*2+150-25*2+230-25*2+150-25*2+8*8*2-4*2*8)/1000</f>
        <v>0.624</v>
      </c>
      <c r="I23" s="9">
        <v>8</v>
      </c>
      <c r="J23" s="40">
        <f>E23*F23*H23*G23</f>
        <v>20.716800000000003</v>
      </c>
      <c r="K23" s="39">
        <f>I23*I23/162</f>
        <v>0.39506172839506171</v>
      </c>
      <c r="L23" s="38">
        <f>J23*K23</f>
        <v>8.184414814814815</v>
      </c>
      <c r="M23" s="40"/>
      <c r="N23" s="40"/>
      <c r="O23" s="40"/>
      <c r="P23" s="40"/>
      <c r="Q23" s="40"/>
      <c r="R23" s="37"/>
    </row>
    <row r="24" spans="1:18" x14ac:dyDescent="0.3">
      <c r="A24" s="37"/>
      <c r="B24" s="37"/>
      <c r="C24" s="40"/>
      <c r="D24" s="40"/>
      <c r="E24" s="8"/>
      <c r="F24" s="8"/>
      <c r="G24" s="9"/>
      <c r="H24" s="40"/>
      <c r="I24" s="9"/>
      <c r="J24" s="40"/>
      <c r="K24" s="39"/>
      <c r="L24" s="38"/>
      <c r="M24" s="40"/>
      <c r="N24" s="40"/>
      <c r="O24" s="40"/>
      <c r="P24" s="40"/>
      <c r="Q24" s="40"/>
      <c r="R24" s="37"/>
    </row>
    <row r="26" spans="1:18" ht="14.25" customHeight="1" x14ac:dyDescent="0.3">
      <c r="A26" s="45" t="s">
        <v>70</v>
      </c>
      <c r="B26" s="37" t="s">
        <v>65</v>
      </c>
      <c r="C26" s="40">
        <v>3.35</v>
      </c>
      <c r="D26" s="40">
        <f>C26</f>
        <v>3.35</v>
      </c>
      <c r="E26" s="8">
        <v>2</v>
      </c>
      <c r="F26" s="8">
        <v>1</v>
      </c>
      <c r="G26" s="9">
        <v>2</v>
      </c>
      <c r="H26" s="40">
        <f>D26</f>
        <v>3.35</v>
      </c>
      <c r="I26" s="9">
        <v>8</v>
      </c>
      <c r="J26" s="40">
        <f>E26*F26*H26*G26</f>
        <v>13.4</v>
      </c>
      <c r="K26" s="39">
        <f>I26*I26/162</f>
        <v>0.39506172839506171</v>
      </c>
      <c r="L26" s="40"/>
      <c r="M26" s="40"/>
      <c r="N26" s="40">
        <f>J26*K26</f>
        <v>5.2938271604938274</v>
      </c>
      <c r="O26" s="4"/>
      <c r="P26" s="40"/>
      <c r="Q26" s="40"/>
      <c r="R26" s="37"/>
    </row>
    <row r="27" spans="1:18" ht="14.25" customHeight="1" x14ac:dyDescent="0.3">
      <c r="A27" s="37"/>
      <c r="B27" s="37" t="s">
        <v>66</v>
      </c>
      <c r="C27" s="40">
        <f>C26</f>
        <v>3.35</v>
      </c>
      <c r="D27" s="40">
        <f>D26</f>
        <v>3.35</v>
      </c>
      <c r="E27" s="8">
        <f>E26</f>
        <v>2</v>
      </c>
      <c r="F27" s="8">
        <v>1</v>
      </c>
      <c r="G27" s="9">
        <v>2</v>
      </c>
      <c r="H27" s="40">
        <f>H26</f>
        <v>3.35</v>
      </c>
      <c r="I27" s="9">
        <v>8</v>
      </c>
      <c r="J27" s="40">
        <f>E27*F27*H27*G27</f>
        <v>13.4</v>
      </c>
      <c r="K27" s="39">
        <f>I27*I27/162</f>
        <v>0.39506172839506171</v>
      </c>
      <c r="L27" s="40"/>
      <c r="M27" s="40"/>
      <c r="N27" s="40">
        <f>J27*K27</f>
        <v>5.2938271604938274</v>
      </c>
      <c r="O27" s="4"/>
      <c r="P27" s="40"/>
      <c r="Q27" s="40"/>
      <c r="R27" s="37"/>
    </row>
    <row r="28" spans="1:18" x14ac:dyDescent="0.3">
      <c r="A28" s="37"/>
      <c r="B28" s="37" t="s">
        <v>67</v>
      </c>
      <c r="C28" s="40">
        <f>3.35-0.23</f>
        <v>3.12</v>
      </c>
      <c r="D28" s="40">
        <f>C28</f>
        <v>3.12</v>
      </c>
      <c r="E28" s="8">
        <f>E27</f>
        <v>2</v>
      </c>
      <c r="F28" s="8">
        <v>1</v>
      </c>
      <c r="G28" s="9">
        <f>C28/0.2+1</f>
        <v>16.600000000000001</v>
      </c>
      <c r="H28" s="40">
        <f>(230-25*2+150-25*2+230-25*2+150-25*2+8*8*2-4*2*8)/1000</f>
        <v>0.624</v>
      </c>
      <c r="I28" s="9">
        <v>8</v>
      </c>
      <c r="J28" s="40">
        <f>E28*F28*H28*G28</f>
        <v>20.716800000000003</v>
      </c>
      <c r="K28" s="39">
        <f>I28*I28/162</f>
        <v>0.39506172839506171</v>
      </c>
      <c r="L28" s="38">
        <f>J28*K28</f>
        <v>8.184414814814815</v>
      </c>
      <c r="M28" s="40"/>
      <c r="N28" s="40"/>
      <c r="O28" s="40"/>
      <c r="P28" s="40"/>
      <c r="Q28" s="40"/>
      <c r="R28" s="37"/>
    </row>
    <row r="29" spans="1:18" x14ac:dyDescent="0.3">
      <c r="A29" s="37"/>
      <c r="B29" s="37"/>
      <c r="C29" s="40"/>
      <c r="D29" s="40"/>
      <c r="E29" s="8"/>
      <c r="F29" s="8"/>
      <c r="G29" s="9"/>
      <c r="H29" s="40"/>
      <c r="I29" s="9"/>
      <c r="J29" s="40"/>
      <c r="K29" s="39"/>
      <c r="L29" s="38">
        <f>SUM(L16:L28)</f>
        <v>30.964516872427986</v>
      </c>
      <c r="M29" s="40"/>
      <c r="N29" s="38">
        <f>SUM(N16:N28)</f>
        <v>46.320987654320987</v>
      </c>
      <c r="O29" s="40"/>
      <c r="P29" s="40"/>
      <c r="Q29" s="40"/>
      <c r="R29" s="51">
        <f>SUM(L29:Q29)</f>
        <v>77.28550452674898</v>
      </c>
    </row>
  </sheetData>
  <mergeCells count="5">
    <mergeCell ref="B12:D12"/>
    <mergeCell ref="E12:G12"/>
    <mergeCell ref="A1:K1"/>
    <mergeCell ref="A2:K2"/>
    <mergeCell ref="B3:K3"/>
  </mergeCells>
  <pageMargins left="0.23622047244094491" right="0.23622047244094491" top="0.47" bottom="0.54" header="0.31496062992125984" footer="0.31496062992125984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Designed wall estimate</vt:lpstr>
      <vt:lpstr>Plain wall estimate</vt:lpstr>
      <vt:lpstr>BBS (2)</vt:lpstr>
      <vt:lpstr>'BBS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KANAUSI SITE QUANTITY DETAILS.xlsx</dc:title>
  <cp:lastModifiedBy>Ravi</cp:lastModifiedBy>
  <dcterms:created xsi:type="dcterms:W3CDTF">2025-12-12T07:02:12Z</dcterms:created>
  <dcterms:modified xsi:type="dcterms:W3CDTF">2025-12-13T10:46:31Z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2025-11-27T00:00:00Z</vt:filetime>
  </property>
  <property fmtid="{D5CDD505-2E9C-101B-9397-08002B2CF9AE}" pid="3" name="LastSaved">
    <vt:filetime>2025-12-12T00:00:00Z</vt:filetime>
  </property>
  <property fmtid="{D5CDD505-2E9C-101B-9397-08002B2CF9AE}" pid="4" name="Producer">
    <vt:lpwstr>Microsoft: Print To PDF</vt:lpwstr>
  </property>
</Properties>
</file>