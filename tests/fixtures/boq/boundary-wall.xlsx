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9"/>
  <workbookPr showInkAnnotation="0"/>
  <xr:revisionPtr revIDLastSave="0" documentId="13_ncr:41000001_{65CE8B5C-D36C-F640-9B8E-04CD298D4EC5}" xr6:coauthVersionLast="47" xr6:coauthVersionMax="47" xr10:uidLastSave="{00000000-0000-0000-0000-000000000000}"/>
  <bookViews>
    <workbookView xWindow="390" yWindow="525" windowWidth="14970" windowHeight="7605" xr2:uid="{00000000-000D-0000-FFFF-FFFF00000000}"/>
  </bookViews>
  <sheets>
    <sheet name="Sheet1" sheetId="1" r:id="rId1"/>
  </sheets>
  <definedNames>
    <definedName name="_xlnm.Print_Area" localSheetId="0">Sheet1!$B$1:$J$55</definedName>
    <definedName name="_xlnm.Print_Titles" localSheetId="0">Sheet1!$1:$2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" i="1" l="1"/>
  <c r="L42" i="1"/>
  <c r="L16" i="1"/>
  <c r="G6" i="1"/>
  <c r="L5" i="1"/>
  <c r="L8" i="1"/>
  <c r="G51" i="1"/>
  <c r="J51" i="1"/>
  <c r="G4" i="1"/>
  <c r="G10" i="1"/>
  <c r="H10" i="1"/>
  <c r="J10" i="1"/>
  <c r="J11" i="1"/>
  <c r="J49" i="1"/>
  <c r="J50" i="1"/>
  <c r="G7" i="1"/>
  <c r="H7" i="1"/>
  <c r="J7" i="1"/>
  <c r="H8" i="1"/>
  <c r="J18" i="1"/>
  <c r="G19" i="1"/>
  <c r="H19" i="1"/>
  <c r="J19" i="1"/>
  <c r="I20" i="1"/>
  <c r="J20" i="1"/>
  <c r="G21" i="1"/>
  <c r="J21" i="1"/>
  <c r="G22" i="1"/>
  <c r="J22" i="1"/>
  <c r="J23" i="1"/>
  <c r="G12" i="1"/>
  <c r="L12" i="1"/>
  <c r="J4" i="1"/>
  <c r="G5" i="1"/>
  <c r="J5" i="1"/>
  <c r="J6" i="1"/>
  <c r="L10" i="1"/>
  <c r="J52" i="1"/>
  <c r="J41" i="1"/>
  <c r="J46" i="1"/>
  <c r="J45" i="1"/>
  <c r="G47" i="1"/>
  <c r="J47" i="1"/>
  <c r="J48" i="1"/>
  <c r="G8" i="1"/>
  <c r="J8" i="1"/>
  <c r="J9" i="1"/>
  <c r="J12" i="1"/>
  <c r="J13" i="1"/>
  <c r="I39" i="1"/>
  <c r="G37" i="1"/>
  <c r="J37" i="1"/>
  <c r="G38" i="1"/>
  <c r="J38" i="1"/>
  <c r="G39" i="1"/>
  <c r="J39" i="1"/>
  <c r="G36" i="1"/>
  <c r="J36" i="1"/>
  <c r="I29" i="1"/>
  <c r="I30" i="1"/>
  <c r="G30" i="1"/>
  <c r="G16" i="1"/>
  <c r="G27" i="1"/>
  <c r="G28" i="1"/>
  <c r="G26" i="1"/>
  <c r="J26" i="1"/>
  <c r="J33" i="1"/>
  <c r="J16" i="1"/>
  <c r="J15" i="1"/>
  <c r="J17" i="1"/>
  <c r="G32" i="1"/>
  <c r="G29" i="1"/>
  <c r="G31" i="1"/>
</calcChain>
</file>

<file path=xl/sharedStrings.xml><?xml version="1.0" encoding="utf-8"?>
<sst xmlns="http://schemas.openxmlformats.org/spreadsheetml/2006/main" count="122" uniqueCount="93">
  <si>
    <t>Sr. No.</t>
  </si>
  <si>
    <t>Description</t>
  </si>
  <si>
    <t>UOM</t>
  </si>
  <si>
    <t>NOS</t>
  </si>
  <si>
    <t>length</t>
  </si>
  <si>
    <t>Width</t>
  </si>
  <si>
    <t>Height/Depth</t>
  </si>
  <si>
    <t>Quantity</t>
  </si>
  <si>
    <t>CUM</t>
  </si>
  <si>
    <t>CONCRETE</t>
  </si>
  <si>
    <t>SHUTTERING</t>
  </si>
  <si>
    <t>SQM</t>
  </si>
  <si>
    <t>for wall PCC</t>
  </si>
  <si>
    <t>for column footing</t>
  </si>
  <si>
    <t>for column padestal</t>
  </si>
  <si>
    <t>for column</t>
  </si>
  <si>
    <t>for plinth beam</t>
  </si>
  <si>
    <t>for top beam</t>
  </si>
  <si>
    <t>BRICKWORK ALIGN WITH ROAD AND PARK</t>
  </si>
  <si>
    <t>footing+ column+ beam</t>
  </si>
  <si>
    <t>KG</t>
  </si>
  <si>
    <t>BoQ For Boundary Wall at Kanusi Site</t>
  </si>
  <si>
    <t>Excavation of wall BW below Plinth Level .8 Mtr. Wide where there is no footing</t>
  </si>
  <si>
    <t>Making/Mixing and laying PCC of Wall footing with M10(1:4:8)</t>
  </si>
  <si>
    <t>Excavation  of  Columun footing with machnical equipment upto 1.2 meter depth in all respect size ( 1175~1200X1550)</t>
  </si>
  <si>
    <t>Making/Mixing and laying PCC of Columun footing with M10(1:4:8) size ( 975*1350)</t>
  </si>
  <si>
    <t>2.1.1</t>
  </si>
  <si>
    <t>2.1.2</t>
  </si>
  <si>
    <t>2.2.1</t>
  </si>
  <si>
    <t>Making/Mixing  and laying Columun Footing Concrete with M20</t>
  </si>
  <si>
    <t>Making/Mixing  and laying Columun Padstael Concrete with M20</t>
  </si>
  <si>
    <t>Making/Mixing and laying Column Concrete with M20 till Top Band</t>
  </si>
  <si>
    <t>Making/Mixing  and laying Plinth Beam Concrete with M20</t>
  </si>
  <si>
    <t>Making/Mixing  and laying Top Band/beam Concrete with M20</t>
  </si>
  <si>
    <t>2.2.2</t>
  </si>
  <si>
    <t>2.2.3</t>
  </si>
  <si>
    <t>2.2.4</t>
  </si>
  <si>
    <t>2.2.5</t>
  </si>
  <si>
    <t>for Column footing PCC</t>
  </si>
  <si>
    <t>Providing  and Fixing-Removing Shuttring with all Material, Fitting(Nails,Wire, Oil)</t>
  </si>
  <si>
    <t>Doing brickwork with first class bricks with (1:6) cement and coarse sand mortar in all respect Equal or More than 230 mm Thk.</t>
  </si>
  <si>
    <t>Doing brickwork with first class bricks with (1:6) cement and coarse sand mortar in all respect upto 115 mm Thk.</t>
  </si>
  <si>
    <t>In foundation Two Brick Coarse</t>
  </si>
  <si>
    <t>In foundation One and Half Brick Coarse</t>
  </si>
  <si>
    <t>in super structure One Brick Coarse</t>
  </si>
  <si>
    <t>In foundation One Brick Coarse upto plinth Beam Bottom</t>
  </si>
  <si>
    <t>4.1.1</t>
  </si>
  <si>
    <t>4.1.2</t>
  </si>
  <si>
    <t>4.1.3</t>
  </si>
  <si>
    <t>4.1.4</t>
  </si>
  <si>
    <t>3.1.1</t>
  </si>
  <si>
    <t>3.1.2</t>
  </si>
  <si>
    <t>3.1.3</t>
  </si>
  <si>
    <t>3.1.4</t>
  </si>
  <si>
    <t>3.1.5</t>
  </si>
  <si>
    <t>3.1.6</t>
  </si>
  <si>
    <t>3.1.7</t>
  </si>
  <si>
    <t>Wall above NGL Both Side</t>
  </si>
  <si>
    <t>Pannel wth Both Side nitchs ( Sill and Jambs)</t>
  </si>
  <si>
    <t>5.1.1</t>
  </si>
  <si>
    <t>5.1.2</t>
  </si>
  <si>
    <t>PLASTER For Both side nitchs</t>
  </si>
  <si>
    <t>RM</t>
  </si>
  <si>
    <t>Doing Eadging plaster with (1:4) cement mortar in all respect</t>
  </si>
  <si>
    <t>Doing plaster upto 15 mm thick with (1:5) cement mortar in all respect</t>
  </si>
  <si>
    <t>Doing Strip Double plaster 75 mm wide with (1:4) cement mortar in all respect</t>
  </si>
  <si>
    <t>At Wall top</t>
  </si>
  <si>
    <t>5.1.3</t>
  </si>
  <si>
    <t>1.1.1</t>
  </si>
  <si>
    <t>1.1.2</t>
  </si>
  <si>
    <t>1.2.1</t>
  </si>
  <si>
    <t>1.3.1</t>
  </si>
  <si>
    <t xml:space="preserve">Back Filling of wall BW both Side upto NGL Lump Sump </t>
  </si>
  <si>
    <t>1.2.2</t>
  </si>
  <si>
    <t>1.4.1</t>
  </si>
  <si>
    <t>Total Excvation in CUM</t>
  </si>
  <si>
    <t>Dressing with Compcation with pounder of  Columun footing with machnical equipment upto 1.2 meter depth in all respect size ( 1075~1100X1450)</t>
  </si>
  <si>
    <t>Dressing with Compcation with pounder of wall BW below Plinth Level .7 Mtr. Wide where there is no footing</t>
  </si>
  <si>
    <t>Total Dressing and Compaction in SQM</t>
  </si>
  <si>
    <t>Total Filling and Compaction in CUM</t>
  </si>
  <si>
    <t>Back Filling of Column Footing for wall BW where there is footing Lump Sump</t>
  </si>
  <si>
    <t>Total Filling in CUM</t>
  </si>
  <si>
    <t>Total Concrete M20 in CUM</t>
  </si>
  <si>
    <t>Total Concrete of M10 PCC in CUM</t>
  </si>
  <si>
    <t>Total Shuttring in SQM</t>
  </si>
  <si>
    <t>Total BW Above 230 mm Thk Wall in CUM</t>
  </si>
  <si>
    <t>Total BW of 115 mm Thk Wall in CUM</t>
  </si>
  <si>
    <t>Total Plaster in SQM</t>
  </si>
  <si>
    <t>Total Plaster in RM</t>
  </si>
  <si>
    <t>Steel in Footing+Column+Plinth-Band+Top-Band</t>
  </si>
  <si>
    <t>EXCAVATION/SOIL-WORK</t>
  </si>
  <si>
    <t>Total Steel in KG</t>
  </si>
  <si>
    <t xml:space="preserve">Total BW in 6.7m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</si>
</sst>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scheme val="minor"/>
    </font>
    <font>
      <b/>
      <sz val="11"/>
      <name val="Calibri"/>
      <family val="1"/>
    </font>
    <font>
      <sz val="11"/>
      <color rgb="FF000000"/>
      <name val="Calibri"/>
      <family val="2"/>
    </font>
    <font>
      <sz val="11"/>
      <name val="Calibri"/>
      <family val="1"/>
    </font>
    <font>
      <sz val="11"/>
      <color rgb="FF000000"/>
      <name val="Times New Roman"/>
      <family val="1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color rgb="FF000000"/>
      <name val="Times New Roman"/>
      <family val="1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3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7" fillId="0" borderId="4" xfId="0" applyFont="1" applyBorder="1" applyAlignment="1">
      <alignment horizontal="right"/>
    </xf>
    <xf numFmtId="0" fontId="1" fillId="0" borderId="3" xfId="0" applyFont="1" applyBorder="1" applyAlignment="1"/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14" xfId="0" applyFont="1" applyBorder="1" applyAlignment="1"/>
    <xf numFmtId="0" fontId="1" fillId="0" borderId="15" xfId="0" applyFont="1" applyBorder="1" applyAlignment="1"/>
    <xf numFmtId="0" fontId="2" fillId="0" borderId="16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5" fillId="0" borderId="15" xfId="0" applyFont="1" applyBorder="1" applyAlignment="1">
      <alignment wrapText="1"/>
    </xf>
    <xf numFmtId="0" fontId="1" fillId="0" borderId="15" xfId="0" applyFont="1" applyBorder="1" applyAlignment="1">
      <alignment wrapText="1"/>
    </xf>
    <xf numFmtId="164" fontId="2" fillId="0" borderId="16" xfId="0" applyNumberFormat="1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2" fillId="0" borderId="19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wrapText="1"/>
    </xf>
    <xf numFmtId="0" fontId="5" fillId="0" borderId="22" xfId="0" applyFont="1" applyBorder="1" applyAlignment="1">
      <alignment wrapText="1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55"/>
  <sheetViews>
    <sheetView tabSelected="1" topLeftCell="A25" zoomScaleNormal="150" zoomScaleSheetLayoutView="100" workbookViewId="0">
      <selection activeCell="H57" sqref="H57"/>
    </sheetView>
  </sheetViews>
  <sheetFormatPr defaultRowHeight="15" x14ac:dyDescent="0.2"/>
  <cols>
    <col min="1" max="1" width="2.6875" customWidth="1"/>
    <col min="3" max="3" width="34.4375" bestFit="1" customWidth="1"/>
    <col min="9" max="9" width="12.23828125" bestFit="1" customWidth="1"/>
    <col min="11" max="11" width="13.85546875" customWidth="1"/>
  </cols>
  <sheetData>
    <row r="1" spans="2:12" ht="18.75" x14ac:dyDescent="0.25">
      <c r="B1" s="40" t="s">
        <v>21</v>
      </c>
      <c r="C1" s="41"/>
      <c r="D1" s="41"/>
      <c r="E1" s="41"/>
      <c r="F1" s="41"/>
      <c r="G1" s="41"/>
      <c r="H1" s="41"/>
      <c r="I1" s="41"/>
      <c r="J1" s="42"/>
    </row>
    <row r="2" spans="2:12" x14ac:dyDescent="0.2">
      <c r="B2" s="21" t="s">
        <v>0</v>
      </c>
      <c r="C2" s="2" t="s">
        <v>1</v>
      </c>
      <c r="D2" s="2" t="s">
        <v>2</v>
      </c>
      <c r="E2" s="2" t="s">
        <v>3</v>
      </c>
      <c r="F2" s="2" t="s">
        <v>3</v>
      </c>
      <c r="G2" s="2" t="s">
        <v>4</v>
      </c>
      <c r="H2" s="2" t="s">
        <v>5</v>
      </c>
      <c r="I2" s="2" t="s">
        <v>6</v>
      </c>
      <c r="J2" s="22" t="s">
        <v>7</v>
      </c>
    </row>
    <row r="3" spans="2:12" x14ac:dyDescent="0.2">
      <c r="B3" s="23" t="s">
        <v>90</v>
      </c>
      <c r="C3" s="20"/>
      <c r="D3" s="20"/>
      <c r="E3" s="20"/>
      <c r="F3" s="20"/>
      <c r="G3" s="20"/>
      <c r="H3" s="20"/>
      <c r="I3" s="20"/>
      <c r="J3" s="24"/>
    </row>
    <row r="4" spans="2:12" ht="54.75" x14ac:dyDescent="0.2">
      <c r="B4" s="25" t="s">
        <v>68</v>
      </c>
      <c r="C4" s="3" t="s">
        <v>24</v>
      </c>
      <c r="D4" s="3" t="s">
        <v>8</v>
      </c>
      <c r="E4" s="7">
        <v>1</v>
      </c>
      <c r="F4" s="7">
        <v>2</v>
      </c>
      <c r="G4" s="7">
        <f>1.2+0.075+0.075+0.1+0.1</f>
        <v>1.55</v>
      </c>
      <c r="H4" s="7">
        <v>1.2</v>
      </c>
      <c r="I4" s="7">
        <v>1.2</v>
      </c>
      <c r="J4" s="26">
        <f>E4*F4*G4*H4*I4</f>
        <v>4.4639999999999995</v>
      </c>
    </row>
    <row r="5" spans="2:12" ht="41.25" x14ac:dyDescent="0.2">
      <c r="B5" s="25" t="s">
        <v>69</v>
      </c>
      <c r="C5" s="3" t="s">
        <v>22</v>
      </c>
      <c r="D5" s="3" t="s">
        <v>8</v>
      </c>
      <c r="E5" s="7">
        <v>1</v>
      </c>
      <c r="F5" s="7">
        <v>2</v>
      </c>
      <c r="G5" s="7">
        <f>3.35-L5-L5</f>
        <v>1.8000000000000003</v>
      </c>
      <c r="H5" s="7">
        <v>0.8</v>
      </c>
      <c r="I5" s="7">
        <v>0.6</v>
      </c>
      <c r="J5" s="26">
        <f>E5*F5*G5*H5*I5</f>
        <v>1.7280000000000004</v>
      </c>
      <c r="L5">
        <f>G4/2</f>
        <v>0.77500000000000002</v>
      </c>
    </row>
    <row r="6" spans="2:12" x14ac:dyDescent="0.2">
      <c r="B6" s="27"/>
      <c r="C6" s="11"/>
      <c r="D6" s="11"/>
      <c r="E6" s="11"/>
      <c r="F6" s="11"/>
      <c r="G6" s="7">
        <f>3.35-L6-L6</f>
        <v>3.35</v>
      </c>
      <c r="H6" s="11"/>
      <c r="I6" s="19" t="s">
        <v>75</v>
      </c>
      <c r="J6" s="28">
        <f>SUM(J4:J5)</f>
        <v>6.1920000000000002</v>
      </c>
    </row>
    <row r="7" spans="2:12" ht="54.75" x14ac:dyDescent="0.2">
      <c r="B7" s="25" t="s">
        <v>70</v>
      </c>
      <c r="C7" s="3" t="s">
        <v>76</v>
      </c>
      <c r="D7" s="3" t="s">
        <v>11</v>
      </c>
      <c r="E7" s="7">
        <v>1</v>
      </c>
      <c r="F7" s="7">
        <v>2</v>
      </c>
      <c r="G7" s="7">
        <f>1.2+0.075+0.075+0.1+0.1-0.1</f>
        <v>1.45</v>
      </c>
      <c r="H7" s="7">
        <f>1.2-0.1</f>
        <v>1.0999999999999999</v>
      </c>
      <c r="I7" s="7"/>
      <c r="J7" s="26">
        <f>E7*F7*G7*H7</f>
        <v>3.1899999999999995</v>
      </c>
    </row>
    <row r="8" spans="2:12" ht="41.25" x14ac:dyDescent="0.2">
      <c r="B8" s="25" t="s">
        <v>73</v>
      </c>
      <c r="C8" s="3" t="s">
        <v>77</v>
      </c>
      <c r="D8" s="3" t="s">
        <v>11</v>
      </c>
      <c r="E8" s="7">
        <v>1</v>
      </c>
      <c r="F8" s="7">
        <v>2</v>
      </c>
      <c r="G8" s="7">
        <f>3.35-L8-L8</f>
        <v>1.9</v>
      </c>
      <c r="H8" s="7">
        <f>0.8-0.1</f>
        <v>0.70000000000000007</v>
      </c>
      <c r="I8" s="7"/>
      <c r="J8" s="26">
        <f>E8*F8*G8*H8</f>
        <v>2.66</v>
      </c>
      <c r="L8">
        <f>G7/2</f>
        <v>0.72499999999999998</v>
      </c>
    </row>
    <row r="9" spans="2:12" x14ac:dyDescent="0.2">
      <c r="B9" s="27"/>
      <c r="C9" s="11"/>
      <c r="D9" s="11"/>
      <c r="E9" s="11"/>
      <c r="F9" s="11"/>
      <c r="G9" s="11"/>
      <c r="H9" s="11"/>
      <c r="I9" s="19" t="s">
        <v>78</v>
      </c>
      <c r="J9" s="28">
        <f>SUM(J7:J8)</f>
        <v>5.85</v>
      </c>
    </row>
    <row r="10" spans="2:12" ht="27.75" x14ac:dyDescent="0.2">
      <c r="B10" s="25" t="s">
        <v>71</v>
      </c>
      <c r="C10" s="3" t="s">
        <v>80</v>
      </c>
      <c r="D10" s="3" t="s">
        <v>8</v>
      </c>
      <c r="E10" s="7">
        <v>1</v>
      </c>
      <c r="F10" s="7">
        <v>2</v>
      </c>
      <c r="G10" s="7">
        <f>G4-0.23</f>
        <v>1.32</v>
      </c>
      <c r="H10" s="7">
        <f>0.45*2</f>
        <v>0.9</v>
      </c>
      <c r="I10" s="7">
        <v>0.15</v>
      </c>
      <c r="J10" s="26">
        <f>E10*F10*G10*H10*I10</f>
        <v>0.35640000000000005</v>
      </c>
      <c r="L10">
        <f>G5/2</f>
        <v>0.90000000000000013</v>
      </c>
    </row>
    <row r="11" spans="2:12" x14ac:dyDescent="0.2">
      <c r="B11" s="27"/>
      <c r="C11" s="11"/>
      <c r="D11" s="11"/>
      <c r="E11" s="11"/>
      <c r="F11" s="11"/>
      <c r="G11" s="11"/>
      <c r="H11" s="11"/>
      <c r="I11" s="19" t="s">
        <v>79</v>
      </c>
      <c r="J11" s="28">
        <f>SUM(J10)</f>
        <v>0.35640000000000005</v>
      </c>
    </row>
    <row r="12" spans="2:12" ht="27.75" x14ac:dyDescent="0.2">
      <c r="B12" s="25" t="s">
        <v>74</v>
      </c>
      <c r="C12" s="3" t="s">
        <v>72</v>
      </c>
      <c r="D12" s="3" t="s">
        <v>8</v>
      </c>
      <c r="E12" s="7">
        <v>1</v>
      </c>
      <c r="F12" s="7">
        <v>2</v>
      </c>
      <c r="G12" s="7">
        <f>3.35*2</f>
        <v>6.7</v>
      </c>
      <c r="H12" s="7">
        <v>0.2</v>
      </c>
      <c r="I12" s="7">
        <v>0.8</v>
      </c>
      <c r="J12" s="26">
        <f>E12*F12*G12*H12*I12</f>
        <v>2.1440000000000001</v>
      </c>
      <c r="L12">
        <f>G10/2</f>
        <v>0.66</v>
      </c>
    </row>
    <row r="13" spans="2:12" x14ac:dyDescent="0.2">
      <c r="B13" s="27"/>
      <c r="C13" s="11"/>
      <c r="D13" s="11"/>
      <c r="E13" s="11"/>
      <c r="F13" s="11"/>
      <c r="G13" s="11"/>
      <c r="H13" s="11"/>
      <c r="I13" s="19" t="s">
        <v>81</v>
      </c>
      <c r="J13" s="28">
        <f>SUM(J12)</f>
        <v>2.1440000000000001</v>
      </c>
    </row>
    <row r="14" spans="2:12" x14ac:dyDescent="0.2">
      <c r="B14" s="23" t="s">
        <v>9</v>
      </c>
      <c r="C14" s="1"/>
      <c r="D14" s="1"/>
      <c r="E14" s="1"/>
      <c r="F14" s="1"/>
      <c r="G14" s="1"/>
      <c r="H14" s="1"/>
      <c r="I14" s="1"/>
      <c r="J14" s="29"/>
    </row>
    <row r="15" spans="2:12" ht="41.25" x14ac:dyDescent="0.2">
      <c r="B15" s="25" t="s">
        <v>26</v>
      </c>
      <c r="C15" s="3" t="s">
        <v>25</v>
      </c>
      <c r="D15" s="3" t="s">
        <v>8</v>
      </c>
      <c r="E15" s="7">
        <v>1</v>
      </c>
      <c r="F15" s="7">
        <v>2</v>
      </c>
      <c r="G15" s="7">
        <v>1.35</v>
      </c>
      <c r="H15" s="7">
        <v>0.97499999999999998</v>
      </c>
      <c r="I15" s="7">
        <v>0.1</v>
      </c>
      <c r="J15" s="26">
        <f>E15*F15*G15*H15*I15</f>
        <v>0.26325000000000004</v>
      </c>
    </row>
    <row r="16" spans="2:12" ht="27.75" x14ac:dyDescent="0.2">
      <c r="B16" s="25" t="s">
        <v>27</v>
      </c>
      <c r="C16" s="3" t="s">
        <v>23</v>
      </c>
      <c r="D16" s="3" t="s">
        <v>8</v>
      </c>
      <c r="E16" s="7">
        <v>1</v>
      </c>
      <c r="F16" s="7">
        <v>2</v>
      </c>
      <c r="G16" s="7">
        <f>3.35-0.23</f>
        <v>3.12</v>
      </c>
      <c r="H16" s="7">
        <v>0.6</v>
      </c>
      <c r="I16" s="7">
        <v>0.1</v>
      </c>
      <c r="J16" s="26">
        <f>E16*F16*G16*H16*I16</f>
        <v>0.37440000000000001</v>
      </c>
      <c r="L16">
        <f>G15/2</f>
        <v>0.67500000000000004</v>
      </c>
    </row>
    <row r="17" spans="2:10" x14ac:dyDescent="0.2">
      <c r="B17" s="27"/>
      <c r="C17" s="11"/>
      <c r="D17" s="11"/>
      <c r="E17" s="11"/>
      <c r="F17" s="11"/>
      <c r="G17" s="11"/>
      <c r="H17" s="11"/>
      <c r="I17" s="19" t="s">
        <v>83</v>
      </c>
      <c r="J17" s="28">
        <f>SUM(J15:J16)</f>
        <v>0.63765000000000005</v>
      </c>
    </row>
    <row r="18" spans="2:10" ht="27.75" x14ac:dyDescent="0.2">
      <c r="B18" s="25" t="s">
        <v>28</v>
      </c>
      <c r="C18" s="3" t="s">
        <v>29</v>
      </c>
      <c r="D18" s="3" t="s">
        <v>8</v>
      </c>
      <c r="E18" s="7">
        <v>1</v>
      </c>
      <c r="F18" s="7">
        <v>2</v>
      </c>
      <c r="G18" s="7">
        <v>1.2</v>
      </c>
      <c r="H18" s="7">
        <v>0.9</v>
      </c>
      <c r="I18" s="7">
        <v>0.35</v>
      </c>
      <c r="J18" s="26">
        <f>E18*F18*G18*H18*I18</f>
        <v>0.75600000000000001</v>
      </c>
    </row>
    <row r="19" spans="2:10" ht="27.75" x14ac:dyDescent="0.2">
      <c r="B19" s="25" t="s">
        <v>34</v>
      </c>
      <c r="C19" s="3" t="s">
        <v>30</v>
      </c>
      <c r="D19" s="3" t="s">
        <v>8</v>
      </c>
      <c r="E19" s="7">
        <v>1</v>
      </c>
      <c r="F19" s="7">
        <v>2</v>
      </c>
      <c r="G19" s="7">
        <f>0.23+0.075+0.075</f>
        <v>0.38</v>
      </c>
      <c r="H19" s="7">
        <f>0.23+0.075</f>
        <v>0.30499999999999999</v>
      </c>
      <c r="I19" s="7">
        <v>0.15</v>
      </c>
      <c r="J19" s="26">
        <f>E19*F19*G19*H19*I19</f>
        <v>3.4770000000000002E-2</v>
      </c>
    </row>
    <row r="20" spans="2:10" ht="27.75" x14ac:dyDescent="0.2">
      <c r="B20" s="25" t="s">
        <v>35</v>
      </c>
      <c r="C20" s="3" t="s">
        <v>31</v>
      </c>
      <c r="D20" s="3" t="s">
        <v>8</v>
      </c>
      <c r="E20" s="7">
        <v>1</v>
      </c>
      <c r="F20" s="7">
        <v>2</v>
      </c>
      <c r="G20" s="7">
        <v>0.23</v>
      </c>
      <c r="H20" s="7">
        <v>0.23</v>
      </c>
      <c r="I20" s="7">
        <f>2.1+0.6+0.6</f>
        <v>3.3000000000000003</v>
      </c>
      <c r="J20" s="26">
        <f t="shared" ref="J20:J22" si="0">E20*F20*G20*H20*I20</f>
        <v>0.34914000000000006</v>
      </c>
    </row>
    <row r="21" spans="2:10" ht="27.75" x14ac:dyDescent="0.2">
      <c r="B21" s="25" t="s">
        <v>36</v>
      </c>
      <c r="C21" s="3" t="s">
        <v>32</v>
      </c>
      <c r="D21" s="3" t="s">
        <v>8</v>
      </c>
      <c r="E21" s="7">
        <v>1</v>
      </c>
      <c r="F21" s="7">
        <v>2</v>
      </c>
      <c r="G21" s="7">
        <f t="shared" ref="G21:G22" si="1">3.35-0.23</f>
        <v>3.12</v>
      </c>
      <c r="H21" s="7">
        <v>0.23</v>
      </c>
      <c r="I21" s="7">
        <v>0.15</v>
      </c>
      <c r="J21" s="26">
        <f t="shared" si="0"/>
        <v>0.21528</v>
      </c>
    </row>
    <row r="22" spans="2:10" ht="27.75" x14ac:dyDescent="0.2">
      <c r="B22" s="25" t="s">
        <v>37</v>
      </c>
      <c r="C22" s="3" t="s">
        <v>33</v>
      </c>
      <c r="D22" s="3" t="s">
        <v>8</v>
      </c>
      <c r="E22" s="7">
        <v>1</v>
      </c>
      <c r="F22" s="7">
        <v>2</v>
      </c>
      <c r="G22" s="7">
        <f t="shared" si="1"/>
        <v>3.12</v>
      </c>
      <c r="H22" s="7">
        <v>0.23</v>
      </c>
      <c r="I22" s="7">
        <v>0.15</v>
      </c>
      <c r="J22" s="26">
        <f t="shared" si="0"/>
        <v>0.21528</v>
      </c>
    </row>
    <row r="23" spans="2:10" x14ac:dyDescent="0.2">
      <c r="B23" s="27"/>
      <c r="C23" s="11"/>
      <c r="D23" s="11"/>
      <c r="E23" s="11"/>
      <c r="F23" s="11"/>
      <c r="G23" s="11"/>
      <c r="H23" s="11"/>
      <c r="I23" s="19" t="s">
        <v>82</v>
      </c>
      <c r="J23" s="28">
        <f>SUM(J18:J22)</f>
        <v>1.5704699999999998</v>
      </c>
    </row>
    <row r="24" spans="2:10" x14ac:dyDescent="0.2">
      <c r="B24" s="23" t="s">
        <v>10</v>
      </c>
      <c r="C24" s="1"/>
      <c r="D24" s="1"/>
      <c r="E24" s="1"/>
      <c r="F24" s="1"/>
      <c r="G24" s="1"/>
      <c r="H24" s="1"/>
      <c r="I24" s="1"/>
      <c r="J24" s="29"/>
    </row>
    <row r="25" spans="2:10" ht="27.75" x14ac:dyDescent="0.2">
      <c r="B25" s="30">
        <v>3.1</v>
      </c>
      <c r="C25" s="12" t="s">
        <v>39</v>
      </c>
      <c r="D25" s="15"/>
      <c r="E25" s="16"/>
      <c r="F25" s="16"/>
      <c r="G25" s="16"/>
      <c r="H25" s="16"/>
      <c r="I25" s="16"/>
      <c r="J25" s="31"/>
    </row>
    <row r="26" spans="2:10" x14ac:dyDescent="0.2">
      <c r="B26" s="30" t="s">
        <v>50</v>
      </c>
      <c r="C26" s="3" t="s">
        <v>38</v>
      </c>
      <c r="D26" s="13" t="s">
        <v>11</v>
      </c>
      <c r="E26" s="14">
        <v>1</v>
      </c>
      <c r="F26" s="14">
        <v>2</v>
      </c>
      <c r="G26" s="14">
        <f>2*(G15+H15)</f>
        <v>4.6500000000000004</v>
      </c>
      <c r="H26" s="14"/>
      <c r="I26" s="14">
        <v>0.1</v>
      </c>
      <c r="J26" s="32">
        <f>E26*F26*G26*I26</f>
        <v>0.93000000000000016</v>
      </c>
    </row>
    <row r="27" spans="2:10" x14ac:dyDescent="0.2">
      <c r="B27" s="30" t="s">
        <v>51</v>
      </c>
      <c r="C27" s="3" t="s">
        <v>12</v>
      </c>
      <c r="D27" s="3" t="s">
        <v>11</v>
      </c>
      <c r="E27" s="7">
        <v>1</v>
      </c>
      <c r="F27" s="7">
        <v>2</v>
      </c>
      <c r="G27" s="7">
        <f>G16*2</f>
        <v>6.24</v>
      </c>
      <c r="H27" s="7"/>
      <c r="I27" s="7">
        <v>0.1</v>
      </c>
      <c r="J27" s="26">
        <v>0.42</v>
      </c>
    </row>
    <row r="28" spans="2:10" x14ac:dyDescent="0.2">
      <c r="B28" s="30" t="s">
        <v>52</v>
      </c>
      <c r="C28" s="3" t="s">
        <v>13</v>
      </c>
      <c r="D28" s="3" t="s">
        <v>11</v>
      </c>
      <c r="E28" s="7">
        <v>1</v>
      </c>
      <c r="F28" s="7">
        <v>2</v>
      </c>
      <c r="G28" s="7">
        <f>2*(G18+H18)</f>
        <v>4.2</v>
      </c>
      <c r="H28" s="7"/>
      <c r="I28" s="7">
        <v>0.35</v>
      </c>
      <c r="J28" s="26">
        <v>1.25</v>
      </c>
    </row>
    <row r="29" spans="2:10" x14ac:dyDescent="0.2">
      <c r="B29" s="30" t="s">
        <v>53</v>
      </c>
      <c r="C29" s="3" t="s">
        <v>14</v>
      </c>
      <c r="D29" s="3" t="s">
        <v>11</v>
      </c>
      <c r="E29" s="7">
        <v>1</v>
      </c>
      <c r="F29" s="7">
        <v>2</v>
      </c>
      <c r="G29" s="7">
        <f>2*(G19+H19)</f>
        <v>1.37</v>
      </c>
      <c r="H29" s="7"/>
      <c r="I29" s="7">
        <f>0.15</f>
        <v>0.15</v>
      </c>
      <c r="J29" s="26">
        <v>1.68</v>
      </c>
    </row>
    <row r="30" spans="2:10" x14ac:dyDescent="0.2">
      <c r="B30" s="30" t="s">
        <v>54</v>
      </c>
      <c r="C30" s="3" t="s">
        <v>15</v>
      </c>
      <c r="D30" s="3" t="s">
        <v>11</v>
      </c>
      <c r="E30" s="7">
        <v>1</v>
      </c>
      <c r="F30" s="7">
        <v>2</v>
      </c>
      <c r="G30" s="7">
        <f>2*(G20+H20)</f>
        <v>0.92</v>
      </c>
      <c r="H30" s="7"/>
      <c r="I30" s="7">
        <f>2.1+0.6+0.6</f>
        <v>3.3000000000000003</v>
      </c>
      <c r="J30" s="26">
        <v>1.26</v>
      </c>
    </row>
    <row r="31" spans="2:10" x14ac:dyDescent="0.2">
      <c r="B31" s="30" t="s">
        <v>55</v>
      </c>
      <c r="C31" s="3" t="s">
        <v>16</v>
      </c>
      <c r="D31" s="3" t="s">
        <v>11</v>
      </c>
      <c r="E31" s="7">
        <v>1</v>
      </c>
      <c r="F31" s="7">
        <v>2</v>
      </c>
      <c r="G31" s="7">
        <f>G21*2</f>
        <v>6.24</v>
      </c>
      <c r="H31" s="7"/>
      <c r="I31" s="7">
        <v>0.15</v>
      </c>
      <c r="J31" s="26">
        <v>0.26</v>
      </c>
    </row>
    <row r="32" spans="2:10" x14ac:dyDescent="0.2">
      <c r="B32" s="30" t="s">
        <v>56</v>
      </c>
      <c r="C32" s="3" t="s">
        <v>17</v>
      </c>
      <c r="D32" s="3" t="s">
        <v>11</v>
      </c>
      <c r="E32" s="7">
        <v>1</v>
      </c>
      <c r="F32" s="7">
        <v>2</v>
      </c>
      <c r="G32" s="7">
        <f>G22*2</f>
        <v>6.24</v>
      </c>
      <c r="H32" s="7"/>
      <c r="I32" s="7">
        <v>0.15</v>
      </c>
      <c r="J32" s="26">
        <v>0.21</v>
      </c>
    </row>
    <row r="33" spans="2:12" x14ac:dyDescent="0.2">
      <c r="B33" s="27"/>
      <c r="C33" s="11"/>
      <c r="D33" s="11"/>
      <c r="E33" s="11"/>
      <c r="F33" s="11"/>
      <c r="G33" s="11"/>
      <c r="H33" s="11"/>
      <c r="I33" s="19" t="s">
        <v>84</v>
      </c>
      <c r="J33" s="28">
        <f>SUM(J26:J32)</f>
        <v>6.01</v>
      </c>
    </row>
    <row r="34" spans="2:12" x14ac:dyDescent="0.2">
      <c r="B34" s="23" t="s">
        <v>18</v>
      </c>
      <c r="C34" s="1"/>
      <c r="D34" s="1"/>
      <c r="E34" s="1"/>
      <c r="F34" s="1"/>
      <c r="G34" s="1"/>
      <c r="H34" s="1"/>
      <c r="I34" s="1"/>
      <c r="J34" s="29"/>
    </row>
    <row r="35" spans="2:12" ht="54.75" x14ac:dyDescent="0.2">
      <c r="B35" s="30">
        <v>4.0999999999999996</v>
      </c>
      <c r="C35" s="3" t="s">
        <v>40</v>
      </c>
      <c r="D35" s="15"/>
      <c r="E35" s="16"/>
      <c r="F35" s="16"/>
      <c r="G35" s="16"/>
      <c r="H35" s="16"/>
      <c r="I35" s="16"/>
      <c r="J35" s="31"/>
    </row>
    <row r="36" spans="2:12" x14ac:dyDescent="0.2">
      <c r="B36" s="30" t="s">
        <v>46</v>
      </c>
      <c r="C36" s="5" t="s">
        <v>42</v>
      </c>
      <c r="D36" s="5" t="s">
        <v>8</v>
      </c>
      <c r="E36" s="9">
        <v>1</v>
      </c>
      <c r="F36" s="9">
        <v>2</v>
      </c>
      <c r="G36" s="9">
        <f>3.35-0.23</f>
        <v>3.12</v>
      </c>
      <c r="H36" s="9">
        <v>0.46</v>
      </c>
      <c r="I36" s="9">
        <v>0.15</v>
      </c>
      <c r="J36" s="26">
        <f>E36*F36*G36*H36*I36</f>
        <v>0.43056</v>
      </c>
    </row>
    <row r="37" spans="2:12" x14ac:dyDescent="0.2">
      <c r="B37" s="30" t="s">
        <v>47</v>
      </c>
      <c r="C37" s="5" t="s">
        <v>43</v>
      </c>
      <c r="D37" s="5" t="s">
        <v>8</v>
      </c>
      <c r="E37" s="9">
        <v>1</v>
      </c>
      <c r="F37" s="9">
        <v>2</v>
      </c>
      <c r="G37" s="9">
        <f t="shared" ref="G37:G39" si="2">3.35-0.23</f>
        <v>3.12</v>
      </c>
      <c r="H37" s="9">
        <v>0.34499999999999997</v>
      </c>
      <c r="I37" s="9">
        <v>0.15</v>
      </c>
      <c r="J37" s="26">
        <f t="shared" ref="J37:J41" si="3">E37*F37*G37*H37*I37</f>
        <v>0.32291999999999998</v>
      </c>
    </row>
    <row r="38" spans="2:12" ht="27.75" x14ac:dyDescent="0.2">
      <c r="B38" s="30" t="s">
        <v>48</v>
      </c>
      <c r="C38" s="5" t="s">
        <v>45</v>
      </c>
      <c r="D38" s="5" t="s">
        <v>8</v>
      </c>
      <c r="E38" s="9">
        <v>1</v>
      </c>
      <c r="F38" s="9">
        <v>2</v>
      </c>
      <c r="G38" s="9">
        <f t="shared" si="2"/>
        <v>3.12</v>
      </c>
      <c r="H38" s="9">
        <v>0.23</v>
      </c>
      <c r="I38" s="9">
        <v>0.65</v>
      </c>
      <c r="J38" s="26">
        <f t="shared" si="3"/>
        <v>0.93288000000000004</v>
      </c>
    </row>
    <row r="39" spans="2:12" x14ac:dyDescent="0.2">
      <c r="B39" s="30" t="s">
        <v>49</v>
      </c>
      <c r="C39" s="5" t="s">
        <v>44</v>
      </c>
      <c r="D39" s="5" t="s">
        <v>8</v>
      </c>
      <c r="E39" s="9">
        <v>1</v>
      </c>
      <c r="F39" s="9">
        <v>2</v>
      </c>
      <c r="G39" s="9">
        <f t="shared" si="2"/>
        <v>3.12</v>
      </c>
      <c r="H39" s="9">
        <v>0.23</v>
      </c>
      <c r="I39" s="9">
        <f>0.39+0.46</f>
        <v>0.85000000000000009</v>
      </c>
      <c r="J39" s="26">
        <f t="shared" si="3"/>
        <v>1.2199200000000001</v>
      </c>
    </row>
    <row r="40" spans="2:12" x14ac:dyDescent="0.2">
      <c r="B40" s="27"/>
      <c r="C40" s="11"/>
      <c r="D40" s="11"/>
      <c r="E40" s="11"/>
      <c r="F40" s="11"/>
      <c r="G40" s="11"/>
      <c r="H40" s="11"/>
      <c r="I40" s="19" t="s">
        <v>85</v>
      </c>
      <c r="J40" s="28">
        <v>2.91</v>
      </c>
    </row>
    <row r="41" spans="2:12" ht="41.25" x14ac:dyDescent="0.2">
      <c r="B41" s="33">
        <v>4.2</v>
      </c>
      <c r="C41" s="5" t="s">
        <v>41</v>
      </c>
      <c r="D41" s="5" t="s">
        <v>8</v>
      </c>
      <c r="E41" s="9">
        <v>1</v>
      </c>
      <c r="F41" s="9">
        <v>2</v>
      </c>
      <c r="G41" s="9">
        <v>3.12</v>
      </c>
      <c r="H41" s="9">
        <v>0.115</v>
      </c>
      <c r="I41" s="9">
        <v>1.25</v>
      </c>
      <c r="J41" s="26">
        <f t="shared" si="3"/>
        <v>0.89700000000000002</v>
      </c>
    </row>
    <row r="42" spans="2:12" x14ac:dyDescent="0.2">
      <c r="B42" s="27"/>
      <c r="C42" s="11"/>
      <c r="D42" s="11"/>
      <c r="E42" s="11"/>
      <c r="F42" s="11"/>
      <c r="G42" s="11"/>
      <c r="H42" s="11"/>
      <c r="I42" s="19" t="s">
        <v>86</v>
      </c>
      <c r="J42" s="28">
        <v>0.68</v>
      </c>
      <c r="K42" t="s">
        <v>92</v>
      </c>
      <c r="L42">
        <f>SUM(J42,J40)</f>
        <v>3.5900000000000003</v>
      </c>
    </row>
    <row r="43" spans="2:12" x14ac:dyDescent="0.2">
      <c r="B43" s="23" t="s">
        <v>61</v>
      </c>
      <c r="C43" s="1"/>
      <c r="D43" s="1"/>
      <c r="E43" s="1"/>
      <c r="F43" s="1"/>
      <c r="G43" s="1"/>
      <c r="H43" s="1"/>
      <c r="I43" s="1"/>
      <c r="J43" s="29"/>
    </row>
    <row r="44" spans="2:12" ht="27.75" x14ac:dyDescent="0.2">
      <c r="B44" s="25">
        <v>5.0999999999999996</v>
      </c>
      <c r="C44" s="12" t="s">
        <v>64</v>
      </c>
      <c r="D44" s="10"/>
      <c r="E44" s="11"/>
      <c r="F44" s="11"/>
      <c r="G44" s="11"/>
      <c r="H44" s="11"/>
      <c r="I44" s="11"/>
      <c r="J44" s="34"/>
    </row>
    <row r="45" spans="2:12" x14ac:dyDescent="0.2">
      <c r="B45" s="25" t="s">
        <v>59</v>
      </c>
      <c r="C45" s="5" t="s">
        <v>57</v>
      </c>
      <c r="D45" s="8" t="s">
        <v>11</v>
      </c>
      <c r="E45" s="17">
        <v>1</v>
      </c>
      <c r="F45" s="17">
        <v>2</v>
      </c>
      <c r="G45" s="17">
        <v>6.7</v>
      </c>
      <c r="H45" s="18"/>
      <c r="I45" s="17">
        <v>2.1</v>
      </c>
      <c r="J45" s="35">
        <f>E45*F45*G45*I45</f>
        <v>28.14</v>
      </c>
    </row>
    <row r="46" spans="2:12" x14ac:dyDescent="0.2">
      <c r="B46" s="25" t="s">
        <v>60</v>
      </c>
      <c r="C46" s="5" t="s">
        <v>66</v>
      </c>
      <c r="D46" s="5" t="s">
        <v>11</v>
      </c>
      <c r="E46" s="9">
        <v>1</v>
      </c>
      <c r="F46" s="9">
        <v>1</v>
      </c>
      <c r="G46" s="9">
        <v>6.7</v>
      </c>
      <c r="H46" s="4"/>
      <c r="I46" s="9">
        <v>0.23</v>
      </c>
      <c r="J46" s="36">
        <f>E46*F46*G46*I46</f>
        <v>1.5410000000000001</v>
      </c>
    </row>
    <row r="47" spans="2:12" ht="27.75" x14ac:dyDescent="0.2">
      <c r="B47" s="25" t="s">
        <v>67</v>
      </c>
      <c r="C47" s="5" t="s">
        <v>58</v>
      </c>
      <c r="D47" s="5" t="s">
        <v>11</v>
      </c>
      <c r="E47" s="9">
        <v>1</v>
      </c>
      <c r="F47" s="9">
        <v>2</v>
      </c>
      <c r="G47" s="9">
        <f>2*(1.25+3.35-0.23*2)</f>
        <v>8.2799999999999994</v>
      </c>
      <c r="H47" s="4"/>
      <c r="I47" s="9">
        <v>0.06</v>
      </c>
      <c r="J47" s="36">
        <f t="shared" ref="J47" si="4">E47*F47*G47*I47</f>
        <v>0.99359999999999993</v>
      </c>
    </row>
    <row r="48" spans="2:12" x14ac:dyDescent="0.2">
      <c r="B48" s="27"/>
      <c r="C48" s="11"/>
      <c r="D48" s="11"/>
      <c r="E48" s="11"/>
      <c r="F48" s="11"/>
      <c r="G48" s="11"/>
      <c r="H48" s="11"/>
      <c r="I48" s="19" t="s">
        <v>87</v>
      </c>
      <c r="J48" s="28">
        <f>SUM(J45:J47)</f>
        <v>30.674600000000002</v>
      </c>
    </row>
    <row r="49" spans="2:10" ht="27.75" x14ac:dyDescent="0.2">
      <c r="B49" s="25">
        <v>5.2</v>
      </c>
      <c r="C49" s="3" t="s">
        <v>63</v>
      </c>
      <c r="D49" s="5" t="s">
        <v>62</v>
      </c>
      <c r="E49" s="9">
        <v>1</v>
      </c>
      <c r="F49" s="9">
        <v>2</v>
      </c>
      <c r="G49" s="9">
        <f>2*(1.25+3.35-0.23*2)</f>
        <v>8.2799999999999994</v>
      </c>
      <c r="H49" s="4"/>
      <c r="I49" s="9"/>
      <c r="J49" s="32">
        <f>E49*F49*G49</f>
        <v>16.559999999999999</v>
      </c>
    </row>
    <row r="50" spans="2:10" x14ac:dyDescent="0.2">
      <c r="B50" s="27"/>
      <c r="C50" s="11"/>
      <c r="D50" s="11"/>
      <c r="E50" s="11"/>
      <c r="F50" s="11"/>
      <c r="G50" s="11"/>
      <c r="H50" s="11"/>
      <c r="I50" s="19" t="s">
        <v>88</v>
      </c>
      <c r="J50" s="28">
        <f>SUM(J49)</f>
        <v>16.559999999999999</v>
      </c>
    </row>
    <row r="51" spans="2:10" ht="27.75" x14ac:dyDescent="0.2">
      <c r="B51" s="25">
        <v>5.3</v>
      </c>
      <c r="C51" s="3" t="s">
        <v>65</v>
      </c>
      <c r="D51" s="5" t="s">
        <v>62</v>
      </c>
      <c r="E51" s="9">
        <v>1</v>
      </c>
      <c r="F51" s="9">
        <v>2</v>
      </c>
      <c r="G51" s="9">
        <f>2*(1.25+3.35-0.23*2+0.075*2)</f>
        <v>8.58</v>
      </c>
      <c r="H51" s="4"/>
      <c r="I51" s="9"/>
      <c r="J51" s="32">
        <f>E51*F51*G51</f>
        <v>17.16</v>
      </c>
    </row>
    <row r="52" spans="2:10" x14ac:dyDescent="0.2">
      <c r="B52" s="27"/>
      <c r="C52" s="11"/>
      <c r="D52" s="11"/>
      <c r="E52" s="11"/>
      <c r="F52" s="11"/>
      <c r="G52" s="11"/>
      <c r="H52" s="11"/>
      <c r="I52" s="19" t="s">
        <v>88</v>
      </c>
      <c r="J52" s="28">
        <f>SUM(J51)</f>
        <v>17.16</v>
      </c>
    </row>
    <row r="53" spans="2:10" x14ac:dyDescent="0.2">
      <c r="B53" s="23" t="s">
        <v>89</v>
      </c>
      <c r="C53" s="20"/>
      <c r="D53" s="20"/>
      <c r="E53" s="20"/>
      <c r="F53" s="20"/>
      <c r="G53" s="20"/>
      <c r="H53" s="20"/>
      <c r="I53" s="20"/>
      <c r="J53" s="24"/>
    </row>
    <row r="54" spans="2:10" x14ac:dyDescent="0.2">
      <c r="B54" s="33">
        <v>6.1</v>
      </c>
      <c r="C54" s="6" t="s">
        <v>19</v>
      </c>
      <c r="D54" s="6" t="s">
        <v>20</v>
      </c>
      <c r="E54" s="9"/>
      <c r="F54" s="9"/>
      <c r="G54" s="9"/>
      <c r="H54" s="4"/>
      <c r="I54" s="9"/>
      <c r="J54" s="36">
        <v>126.65</v>
      </c>
    </row>
    <row r="55" spans="2:10" ht="15.75" thickBot="1" x14ac:dyDescent="0.25">
      <c r="B55" s="37"/>
      <c r="C55" s="38"/>
      <c r="D55" s="38"/>
      <c r="E55" s="38"/>
      <c r="F55" s="38"/>
      <c r="G55" s="38"/>
      <c r="H55" s="38"/>
      <c r="I55" s="19" t="s">
        <v>91</v>
      </c>
      <c r="J55" s="39">
        <v>126.65</v>
      </c>
    </row>
  </sheetData>
  <mergeCells count="1">
    <mergeCell ref="B1:J1"/>
  </mergeCells>
  <printOptions horizontalCentered="1"/>
  <pageMargins left="0.2" right="0.2" top="0.25" bottom="0.25" header="0.05" footer="0.05"/>
  <pageSetup paperSize="9" scale="84" fitToHeight="0" orientation="portrait" r:id="rId1"/>
  <ignoredErrors>
    <ignoredError sqref="J50:J51 J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Pulkit Verma</dc:creator>
  <cp:lastModifiedBy>dell</cp:lastModifiedBy>
  <cp:lastPrinted>2026-01-16T11:59:08Z</cp:lastPrinted>
  <dcterms:created xsi:type="dcterms:W3CDTF">2026-01-15T12:59:46Z</dcterms:created>
  <dcterms:modified xsi:type="dcterms:W3CDTF">2026-01-16T12:00:18Z</dcterms:modified>
</cp:coreProperties>
</file>