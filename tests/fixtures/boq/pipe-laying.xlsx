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3"/>
  <workbookPr defaultThemeVersion="124226"/>
  <xr:revisionPtr revIDLastSave="0" documentId="8_{ED162FB6-735E-844C-B181-D7772BF2A596}" xr6:coauthVersionLast="47" xr6:coauthVersionMax="47" xr10:uidLastSave="{00000000-0000-0000-0000-000000000000}"/>
  <bookViews>
    <workbookView xWindow="450" yWindow="-60" windowWidth="10575" windowHeight="1185" xr2:uid="{00000000-000D-0000-FFFF-FFFF00000000}"/>
  </bookViews>
  <sheets>
    <sheet name="Hume_Pipe" sheetId="1" r:id="rId1"/>
    <sheet name="DWC" sheetId="4" r:id="rId2"/>
    <sheet name="Kanausi" sheetId="3" r:id="rId3"/>
  </sheets>
  <definedNames>
    <definedName name="_xlnm.Print_Area" localSheetId="1">DWC!$A$1:$L$67</definedName>
    <definedName name="_xlnm.Print_Area" localSheetId="0">Hume_Pipe!$A$1:$L$83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4" l="1"/>
  <c r="H66" i="4"/>
  <c r="D66" i="4"/>
  <c r="K66" i="4"/>
  <c r="C66" i="4"/>
  <c r="F65" i="4"/>
  <c r="H65" i="4"/>
  <c r="D65" i="4"/>
  <c r="K65" i="4"/>
  <c r="C65" i="4"/>
  <c r="G63" i="4"/>
  <c r="H63" i="4"/>
  <c r="D63" i="4"/>
  <c r="C63" i="4"/>
  <c r="F62" i="4"/>
  <c r="H62" i="4"/>
  <c r="D62" i="4"/>
  <c r="K62" i="4"/>
  <c r="C62" i="4"/>
  <c r="H60" i="4"/>
  <c r="K60" i="4"/>
  <c r="H59" i="4"/>
  <c r="K59" i="4"/>
  <c r="H58" i="4"/>
  <c r="K58" i="4"/>
  <c r="H57" i="4"/>
  <c r="K57" i="4"/>
  <c r="H56" i="4"/>
  <c r="K56" i="4"/>
  <c r="G53" i="4"/>
  <c r="H53" i="4"/>
  <c r="D53" i="4"/>
  <c r="K53" i="4"/>
  <c r="C53" i="4"/>
  <c r="F52" i="4"/>
  <c r="H52" i="4"/>
  <c r="D52" i="4"/>
  <c r="K52" i="4"/>
  <c r="C52" i="4"/>
  <c r="G50" i="4"/>
  <c r="H50" i="4"/>
  <c r="D50" i="4"/>
  <c r="K50" i="4"/>
  <c r="C50" i="4"/>
  <c r="F49" i="4"/>
  <c r="H49" i="4"/>
  <c r="D49" i="4"/>
  <c r="C49" i="4"/>
  <c r="H47" i="4"/>
  <c r="K47" i="4"/>
  <c r="H46" i="4"/>
  <c r="K46" i="4"/>
  <c r="H45" i="4"/>
  <c r="K45" i="4"/>
  <c r="H44" i="4"/>
  <c r="K44" i="4"/>
  <c r="H43" i="4"/>
  <c r="K43" i="4"/>
  <c r="G40" i="4"/>
  <c r="H40" i="4"/>
  <c r="D40" i="4"/>
  <c r="K40" i="4"/>
  <c r="C40" i="4"/>
  <c r="F39" i="4"/>
  <c r="H39" i="4"/>
  <c r="D39" i="4"/>
  <c r="K39" i="4"/>
  <c r="C39" i="4"/>
  <c r="G37" i="4"/>
  <c r="H37" i="4"/>
  <c r="D37" i="4"/>
  <c r="C37" i="4"/>
  <c r="F36" i="4"/>
  <c r="H36" i="4"/>
  <c r="D36" i="4"/>
  <c r="C36" i="4"/>
  <c r="H34" i="4"/>
  <c r="K34" i="4"/>
  <c r="H33" i="4"/>
  <c r="K33" i="4"/>
  <c r="H32" i="4"/>
  <c r="K32" i="4"/>
  <c r="H31" i="4"/>
  <c r="K31" i="4"/>
  <c r="H30" i="4"/>
  <c r="K30" i="4"/>
  <c r="G27" i="4"/>
  <c r="H27" i="4"/>
  <c r="D27" i="4"/>
  <c r="K27" i="4"/>
  <c r="C27" i="4"/>
  <c r="D26" i="4"/>
  <c r="K26" i="4"/>
  <c r="F26" i="4"/>
  <c r="H26" i="4"/>
  <c r="C26" i="4"/>
  <c r="G24" i="4"/>
  <c r="H24" i="4"/>
  <c r="D24" i="4"/>
  <c r="C24" i="4"/>
  <c r="F23" i="4"/>
  <c r="H23" i="4"/>
  <c r="D23" i="4"/>
  <c r="K23" i="4"/>
  <c r="C23" i="4"/>
  <c r="H21" i="4"/>
  <c r="K21" i="4"/>
  <c r="H20" i="4"/>
  <c r="K20" i="4"/>
  <c r="H19" i="4"/>
  <c r="K19" i="4"/>
  <c r="H18" i="4"/>
  <c r="K18" i="4"/>
  <c r="H17" i="4"/>
  <c r="K17" i="4"/>
  <c r="G14" i="4"/>
  <c r="H14" i="4"/>
  <c r="D14" i="4"/>
  <c r="K14" i="4"/>
  <c r="C14" i="4"/>
  <c r="F13" i="4"/>
  <c r="H13" i="4"/>
  <c r="D13" i="4"/>
  <c r="K13" i="4"/>
  <c r="C13" i="4"/>
  <c r="G11" i="4"/>
  <c r="H11" i="4"/>
  <c r="D11" i="4"/>
  <c r="K11" i="4"/>
  <c r="C11" i="4"/>
  <c r="F10" i="4"/>
  <c r="H10" i="4"/>
  <c r="D10" i="4"/>
  <c r="C10" i="4"/>
  <c r="H8" i="4"/>
  <c r="K8" i="4"/>
  <c r="H7" i="4"/>
  <c r="K7" i="4"/>
  <c r="H6" i="4"/>
  <c r="K6" i="4"/>
  <c r="H5" i="4"/>
  <c r="K5" i="4"/>
  <c r="H4" i="4"/>
  <c r="K4" i="4"/>
  <c r="AA2" i="1"/>
  <c r="AB2" i="1"/>
  <c r="AA3" i="1"/>
  <c r="AB3" i="1"/>
  <c r="AA4" i="1"/>
  <c r="AB4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5" i="1"/>
  <c r="AB15" i="1"/>
  <c r="AA16" i="1"/>
  <c r="AB16" i="1"/>
  <c r="AA17" i="1"/>
  <c r="AB17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8" i="1"/>
  <c r="AB28" i="1"/>
  <c r="AA29" i="1"/>
  <c r="AB29" i="1"/>
  <c r="AA30" i="1"/>
  <c r="AB30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1" i="1"/>
  <c r="AB41" i="1"/>
  <c r="AA42" i="1"/>
  <c r="AB42" i="1"/>
  <c r="AA43" i="1"/>
  <c r="AB43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4" i="1"/>
  <c r="AB54" i="1"/>
  <c r="AA55" i="1"/>
  <c r="AB55" i="1"/>
  <c r="AA56" i="1"/>
  <c r="AB56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C74" i="1"/>
  <c r="D74" i="1"/>
  <c r="G74" i="1"/>
  <c r="H74" i="1"/>
  <c r="K74" i="1"/>
  <c r="C75" i="1"/>
  <c r="D75" i="1"/>
  <c r="H75" i="1"/>
  <c r="K75" i="1"/>
  <c r="G17" i="1"/>
  <c r="H17" i="1"/>
  <c r="D17" i="1"/>
  <c r="K17" i="1"/>
  <c r="C17" i="1"/>
  <c r="F16" i="1"/>
  <c r="H16" i="1"/>
  <c r="D16" i="1"/>
  <c r="K16" i="1"/>
  <c r="C16" i="1"/>
  <c r="H14" i="1"/>
  <c r="D14" i="1"/>
  <c r="K14" i="1"/>
  <c r="C14" i="1"/>
  <c r="F13" i="1"/>
  <c r="H13" i="1"/>
  <c r="D13" i="1"/>
  <c r="K13" i="1"/>
  <c r="C13" i="1"/>
  <c r="H11" i="1"/>
  <c r="D11" i="1"/>
  <c r="C11" i="1"/>
  <c r="G10" i="1"/>
  <c r="H10" i="1"/>
  <c r="D10" i="1"/>
  <c r="C10" i="1"/>
  <c r="H8" i="1"/>
  <c r="K8" i="1"/>
  <c r="H7" i="1"/>
  <c r="K7" i="1"/>
  <c r="H6" i="1"/>
  <c r="K6" i="1"/>
  <c r="G81" i="1"/>
  <c r="H81" i="1"/>
  <c r="F80" i="1"/>
  <c r="H80" i="1"/>
  <c r="F77" i="1"/>
  <c r="H77" i="1"/>
  <c r="G58" i="1"/>
  <c r="H58" i="1"/>
  <c r="G65" i="1"/>
  <c r="H65" i="1"/>
  <c r="F64" i="1"/>
  <c r="H64" i="1"/>
  <c r="F61" i="1"/>
  <c r="H61" i="1"/>
  <c r="G49" i="1"/>
  <c r="H49" i="1"/>
  <c r="F48" i="1"/>
  <c r="H48" i="1"/>
  <c r="F45" i="1"/>
  <c r="H45" i="1"/>
  <c r="G42" i="1"/>
  <c r="H42" i="1"/>
  <c r="G33" i="1"/>
  <c r="H33" i="1"/>
  <c r="F32" i="1"/>
  <c r="H32" i="1"/>
  <c r="F29" i="1"/>
  <c r="H29" i="1"/>
  <c r="H27" i="1"/>
  <c r="G26" i="1"/>
  <c r="H26" i="1"/>
  <c r="D81" i="1"/>
  <c r="K81" i="1"/>
  <c r="C81" i="1"/>
  <c r="D80" i="1"/>
  <c r="K80" i="1"/>
  <c r="C80" i="1"/>
  <c r="H78" i="1"/>
  <c r="D78" i="1"/>
  <c r="K78" i="1"/>
  <c r="C78" i="1"/>
  <c r="D77" i="1"/>
  <c r="K77" i="1"/>
  <c r="C77" i="1"/>
  <c r="H72" i="1"/>
  <c r="K72" i="1"/>
  <c r="H71" i="1"/>
  <c r="K71" i="1"/>
  <c r="H70" i="1"/>
  <c r="K70" i="1"/>
  <c r="H69" i="1"/>
  <c r="K69" i="1"/>
  <c r="H68" i="1"/>
  <c r="K68" i="1"/>
  <c r="D65" i="1"/>
  <c r="K65" i="1"/>
  <c r="C65" i="1"/>
  <c r="D64" i="1"/>
  <c r="K64" i="1"/>
  <c r="C64" i="1"/>
  <c r="H62" i="1"/>
  <c r="D62" i="1"/>
  <c r="K62" i="1"/>
  <c r="C62" i="1"/>
  <c r="D61" i="1"/>
  <c r="K61" i="1"/>
  <c r="C61" i="1"/>
  <c r="H59" i="1"/>
  <c r="D59" i="1"/>
  <c r="C59" i="1"/>
  <c r="D58" i="1"/>
  <c r="C58" i="1"/>
  <c r="H56" i="1"/>
  <c r="K56" i="1"/>
  <c r="H55" i="1"/>
  <c r="K55" i="1"/>
  <c r="H54" i="1"/>
  <c r="K54" i="1"/>
  <c r="H53" i="1"/>
  <c r="K53" i="1"/>
  <c r="H52" i="1"/>
  <c r="K52" i="1"/>
  <c r="D49" i="1"/>
  <c r="K49" i="1"/>
  <c r="C49" i="1"/>
  <c r="D48" i="1"/>
  <c r="K48" i="1"/>
  <c r="C48" i="1"/>
  <c r="H46" i="1"/>
  <c r="D46" i="1"/>
  <c r="K46" i="1"/>
  <c r="C46" i="1"/>
  <c r="D45" i="1"/>
  <c r="K45" i="1"/>
  <c r="C45" i="1"/>
  <c r="H43" i="1"/>
  <c r="D43" i="1"/>
  <c r="C43" i="1"/>
  <c r="D42" i="1"/>
  <c r="C42" i="1"/>
  <c r="H40" i="1"/>
  <c r="K40" i="1"/>
  <c r="H39" i="1"/>
  <c r="K39" i="1"/>
  <c r="H38" i="1"/>
  <c r="K38" i="1"/>
  <c r="H37" i="1"/>
  <c r="K37" i="1"/>
  <c r="H36" i="1"/>
  <c r="K36" i="1"/>
  <c r="D33" i="1"/>
  <c r="K33" i="1"/>
  <c r="C33" i="1"/>
  <c r="D32" i="1"/>
  <c r="K32" i="1"/>
  <c r="C32" i="1"/>
  <c r="H30" i="1"/>
  <c r="D30" i="1"/>
  <c r="K30" i="1"/>
  <c r="C30" i="1"/>
  <c r="D29" i="1"/>
  <c r="K29" i="1"/>
  <c r="C29" i="1"/>
  <c r="D27" i="1"/>
  <c r="C27" i="1"/>
  <c r="D26" i="1"/>
  <c r="C26" i="1"/>
  <c r="H24" i="1"/>
  <c r="K24" i="1"/>
  <c r="H23" i="1"/>
  <c r="K23" i="1"/>
  <c r="H22" i="1"/>
  <c r="K22" i="1"/>
  <c r="H21" i="1"/>
  <c r="K21" i="1"/>
  <c r="H20" i="1"/>
  <c r="K20" i="1"/>
  <c r="H5" i="1"/>
  <c r="K5" i="1"/>
  <c r="H4" i="1"/>
  <c r="K4" i="1"/>
  <c r="K10" i="1"/>
  <c r="K24" i="4"/>
  <c r="K63" i="4"/>
  <c r="K36" i="4"/>
  <c r="K37" i="4"/>
  <c r="K41" i="4"/>
  <c r="L41" i="4"/>
  <c r="K10" i="4"/>
  <c r="K15" i="4"/>
  <c r="L15" i="4"/>
  <c r="K49" i="4"/>
  <c r="K54" i="4"/>
  <c r="L54" i="4"/>
  <c r="K28" i="4"/>
  <c r="L28" i="4"/>
  <c r="K67" i="4"/>
  <c r="L67" i="4"/>
  <c r="K27" i="1"/>
  <c r="K11" i="1"/>
  <c r="K18" i="1"/>
  <c r="L18" i="1"/>
  <c r="K58" i="1"/>
  <c r="K59" i="1"/>
  <c r="K43" i="1"/>
  <c r="K42" i="1"/>
  <c r="K50" i="1"/>
  <c r="L50" i="1"/>
  <c r="K26" i="1"/>
  <c r="K34" i="1"/>
  <c r="L34" i="1"/>
  <c r="K82" i="1"/>
  <c r="L82" i="1"/>
  <c r="K66" i="1"/>
  <c r="L66" i="1"/>
</calcChain>
</file>

<file path=xl/sharedStrings.xml><?xml version="1.0" encoding="utf-8"?>
<sst xmlns="http://schemas.openxmlformats.org/spreadsheetml/2006/main" count="608" uniqueCount="127">
  <si>
    <t>Sr. No.</t>
  </si>
  <si>
    <t>Item</t>
  </si>
  <si>
    <t>Nos.</t>
  </si>
  <si>
    <t>Rate</t>
  </si>
  <si>
    <t>Taken in for BOQ or not</t>
  </si>
  <si>
    <t>Width
in Mtr.</t>
  </si>
  <si>
    <t>Length
in Mtr.</t>
  </si>
  <si>
    <t>Unit of Quantity</t>
  </si>
  <si>
    <t>Quantity</t>
  </si>
  <si>
    <t>1.0.0</t>
  </si>
  <si>
    <t>150 mm Dia</t>
  </si>
  <si>
    <t>NP-2 Hume Pipe</t>
  </si>
  <si>
    <t>200 mm Dia</t>
  </si>
  <si>
    <t>250 mm Dia</t>
  </si>
  <si>
    <t>300 mm Dia</t>
  </si>
  <si>
    <t>400 mm Dia</t>
  </si>
  <si>
    <t>1.1.0</t>
  </si>
  <si>
    <t>1.1.1</t>
  </si>
  <si>
    <t>1.2.0</t>
  </si>
  <si>
    <t>1.2.1</t>
  </si>
  <si>
    <t>1.3.0</t>
  </si>
  <si>
    <t>1.4.0</t>
  </si>
  <si>
    <t>1.5.0</t>
  </si>
  <si>
    <t>Excvation</t>
  </si>
  <si>
    <t>Dressing</t>
  </si>
  <si>
    <t>PCC</t>
  </si>
  <si>
    <t>Pipe Laying</t>
  </si>
  <si>
    <t>Concrete</t>
  </si>
  <si>
    <t>Formwork</t>
  </si>
  <si>
    <t>Half Encasing Encasing (Haunching Half Pipe) 75 mm Wide Thk.</t>
  </si>
  <si>
    <t>Full Encasing (Haunching Full Pipe) 75 mm  Thk.</t>
  </si>
  <si>
    <t>Joints Full Encasing (Haunching at Joints) 75 mm Thk.</t>
  </si>
  <si>
    <t>1.1.2</t>
  </si>
  <si>
    <t>1.1.4</t>
  </si>
  <si>
    <t>1.1.5a</t>
  </si>
  <si>
    <t>(i)</t>
  </si>
  <si>
    <t>(ii)</t>
  </si>
  <si>
    <t>1.1.5b</t>
  </si>
  <si>
    <t>1.1.5c</t>
  </si>
  <si>
    <t>1.2.2</t>
  </si>
  <si>
    <t>1.2.4</t>
  </si>
  <si>
    <t>1.2.5a</t>
  </si>
  <si>
    <t>1.2.5b</t>
  </si>
  <si>
    <t>1.2.5c</t>
  </si>
  <si>
    <t>1.3.1</t>
  </si>
  <si>
    <t>1.3.2</t>
  </si>
  <si>
    <t>1.3.4</t>
  </si>
  <si>
    <t>1.3.5a</t>
  </si>
  <si>
    <t>1.3.5b</t>
  </si>
  <si>
    <t>1.3.5c</t>
  </si>
  <si>
    <t>1.4.1</t>
  </si>
  <si>
    <t>1.4.2</t>
  </si>
  <si>
    <t>1.4.4</t>
  </si>
  <si>
    <t>1.4.5a</t>
  </si>
  <si>
    <t>1.4.5b</t>
  </si>
  <si>
    <t>1.4.5c</t>
  </si>
  <si>
    <t>1.5.1</t>
  </si>
  <si>
    <t>1.5.2</t>
  </si>
  <si>
    <t>1.5.4</t>
  </si>
  <si>
    <t>1.5.5a</t>
  </si>
  <si>
    <t>1.5.5b</t>
  </si>
  <si>
    <t>1.5.5c</t>
  </si>
  <si>
    <t>2.0.0</t>
  </si>
  <si>
    <t>DWC SN-8 Pipe</t>
  </si>
  <si>
    <t>2.1.0</t>
  </si>
  <si>
    <t>2.1.1</t>
  </si>
  <si>
    <t>2.1.2</t>
  </si>
  <si>
    <t>2.1.4</t>
  </si>
  <si>
    <t>2.1.5a</t>
  </si>
  <si>
    <t>2.1.5b</t>
  </si>
  <si>
    <t>2.2.0</t>
  </si>
  <si>
    <t>2.2.1</t>
  </si>
  <si>
    <t>2.2.2</t>
  </si>
  <si>
    <t>2.2.4</t>
  </si>
  <si>
    <t>2.2.5a</t>
  </si>
  <si>
    <t>2(i)</t>
  </si>
  <si>
    <t>2(ii)</t>
  </si>
  <si>
    <t>2.2.5b</t>
  </si>
  <si>
    <t>2.3.0</t>
  </si>
  <si>
    <t>2.3.1</t>
  </si>
  <si>
    <t>2.3.2</t>
  </si>
  <si>
    <t>2.3.4</t>
  </si>
  <si>
    <t>2.3.5a</t>
  </si>
  <si>
    <t>2.3.5b</t>
  </si>
  <si>
    <t>2.4.0</t>
  </si>
  <si>
    <t>2.4.1</t>
  </si>
  <si>
    <t>2.4.2</t>
  </si>
  <si>
    <t>2.4.4</t>
  </si>
  <si>
    <t>2.4.5a</t>
  </si>
  <si>
    <t>2.4.5b</t>
  </si>
  <si>
    <t>2.5.0</t>
  </si>
  <si>
    <t>2.5.1</t>
  </si>
  <si>
    <t>2.5.2</t>
  </si>
  <si>
    <t>2.5.4</t>
  </si>
  <si>
    <t>2.5.5a</t>
  </si>
  <si>
    <t>2.5.5b</t>
  </si>
  <si>
    <t>Remark</t>
  </si>
  <si>
    <t>Area
/Depth
in Mtr.</t>
  </si>
  <si>
    <t>Amount</t>
  </si>
  <si>
    <t>Yes</t>
  </si>
  <si>
    <t>No</t>
  </si>
  <si>
    <t>-</t>
  </si>
  <si>
    <t>CUM</t>
  </si>
  <si>
    <t>SQM</t>
  </si>
  <si>
    <t>RM</t>
  </si>
  <si>
    <t>1.1.3.1</t>
  </si>
  <si>
    <t>1.1.3.2</t>
  </si>
  <si>
    <t>PCC Formwork</t>
  </si>
  <si>
    <t>1.2.3.1</t>
  </si>
  <si>
    <t>1.2.3.2</t>
  </si>
  <si>
    <t>1.3.3.1</t>
  </si>
  <si>
    <t>1.3.3.2</t>
  </si>
  <si>
    <t>1.4.3.1</t>
  </si>
  <si>
    <t>1.4.3.2</t>
  </si>
  <si>
    <t>1.5.3.1</t>
  </si>
  <si>
    <t>1.5.3.2</t>
  </si>
  <si>
    <t>Total Amount for 10 mtr</t>
  </si>
  <si>
    <t>2.1.3.1</t>
  </si>
  <si>
    <t>2.1.3.2</t>
  </si>
  <si>
    <t>2.2.3.1</t>
  </si>
  <si>
    <t>2.2.3.2</t>
  </si>
  <si>
    <t>2.3.3.1</t>
  </si>
  <si>
    <t>2.3.3.2</t>
  </si>
  <si>
    <t>2.4.3.1</t>
  </si>
  <si>
    <t>2.4.3.2</t>
  </si>
  <si>
    <t>2.5.3.1</t>
  </si>
  <si>
    <t>2.5.3.2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</si>
</sst>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\ \₹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6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NumberFormat="1" applyFont="1" applyBorder="1"/>
    <xf numFmtId="0" fontId="2" fillId="0" borderId="9" xfId="0" applyFont="1" applyBorder="1"/>
    <xf numFmtId="0" fontId="2" fillId="0" borderId="10" xfId="0" applyNumberFormat="1" applyFont="1" applyBorder="1"/>
    <xf numFmtId="0" fontId="3" fillId="0" borderId="11" xfId="0" applyFont="1" applyBorder="1"/>
    <xf numFmtId="0" fontId="3" fillId="0" borderId="8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2" fontId="3" fillId="0" borderId="6" xfId="0" applyNumberFormat="1" applyFont="1" applyBorder="1"/>
    <xf numFmtId="0" fontId="3" fillId="0" borderId="15" xfId="0" applyNumberFormat="1" applyFont="1" applyBorder="1"/>
    <xf numFmtId="0" fontId="3" fillId="0" borderId="16" xfId="0" applyFont="1" applyBorder="1" applyAlignment="1">
      <alignment wrapText="1"/>
    </xf>
    <xf numFmtId="0" fontId="3" fillId="0" borderId="16" xfId="0" applyFont="1" applyBorder="1"/>
    <xf numFmtId="2" fontId="3" fillId="0" borderId="17" xfId="0" applyNumberFormat="1" applyFont="1" applyBorder="1"/>
    <xf numFmtId="0" fontId="3" fillId="0" borderId="18" xfId="0" applyFont="1" applyBorder="1"/>
    <xf numFmtId="0" fontId="2" fillId="0" borderId="19" xfId="0" applyFont="1" applyBorder="1"/>
    <xf numFmtId="0" fontId="2" fillId="0" borderId="14" xfId="0" applyFont="1" applyBorder="1"/>
    <xf numFmtId="0" fontId="2" fillId="0" borderId="20" xfId="0" applyFont="1" applyBorder="1"/>
    <xf numFmtId="0" fontId="3" fillId="0" borderId="0" xfId="0" applyNumberFormat="1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/>
    <xf numFmtId="164" fontId="3" fillId="0" borderId="1" xfId="0" applyNumberFormat="1" applyFont="1" applyBorder="1"/>
    <xf numFmtId="164" fontId="3" fillId="0" borderId="6" xfId="0" applyNumberFormat="1" applyFont="1" applyBorder="1"/>
    <xf numFmtId="2" fontId="3" fillId="0" borderId="1" xfId="0" applyNumberFormat="1" applyFont="1" applyBorder="1"/>
    <xf numFmtId="0" fontId="3" fillId="0" borderId="21" xfId="0" applyNumberFormat="1" applyFont="1" applyBorder="1"/>
    <xf numFmtId="0" fontId="3" fillId="0" borderId="22" xfId="0" applyFont="1" applyBorder="1" applyAlignment="1">
      <alignment wrapText="1"/>
    </xf>
    <xf numFmtId="0" fontId="3" fillId="0" borderId="22" xfId="0" applyFont="1" applyBorder="1"/>
    <xf numFmtId="2" fontId="2" fillId="0" borderId="22" xfId="0" applyNumberFormat="1" applyFont="1" applyBorder="1"/>
    <xf numFmtId="0" fontId="2" fillId="0" borderId="22" xfId="0" applyFont="1" applyBorder="1"/>
    <xf numFmtId="0" fontId="2" fillId="0" borderId="22" xfId="0" applyFont="1" applyBorder="1" applyAlignment="1">
      <alignment horizontal="right"/>
    </xf>
    <xf numFmtId="164" fontId="2" fillId="0" borderId="12" xfId="0" applyNumberFormat="1" applyFont="1" applyBorder="1"/>
    <xf numFmtId="0" fontId="2" fillId="0" borderId="13" xfId="0" applyFont="1" applyBorder="1"/>
    <xf numFmtId="0" fontId="2" fillId="0" borderId="23" xfId="0" applyNumberFormat="1" applyFont="1" applyBorder="1"/>
    <xf numFmtId="0" fontId="2" fillId="0" borderId="24" xfId="0" applyFont="1" applyBorder="1" applyAlignment="1">
      <alignment horizontal="left" indent="44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2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/>
    <xf numFmtId="0" fontId="2" fillId="0" borderId="29" xfId="0" applyFont="1" applyBorder="1"/>
    <xf numFmtId="0" fontId="3" fillId="0" borderId="30" xfId="0" applyNumberFormat="1" applyFont="1" applyBorder="1"/>
    <xf numFmtId="0" fontId="3" fillId="0" borderId="31" xfId="0" applyFont="1" applyBorder="1" applyAlignment="1">
      <alignment wrapText="1"/>
    </xf>
    <xf numFmtId="0" fontId="3" fillId="0" borderId="31" xfId="0" applyFont="1" applyBorder="1"/>
    <xf numFmtId="2" fontId="2" fillId="0" borderId="31" xfId="0" applyNumberFormat="1" applyFont="1" applyBorder="1"/>
    <xf numFmtId="0" fontId="2" fillId="0" borderId="31" xfId="0" applyFont="1" applyBorder="1"/>
    <xf numFmtId="0" fontId="2" fillId="0" borderId="31" xfId="0" applyFont="1" applyBorder="1" applyAlignment="1">
      <alignment horizontal="right"/>
    </xf>
    <xf numFmtId="164" fontId="2" fillId="0" borderId="28" xfId="0" applyNumberFormat="1" applyFont="1" applyBorder="1"/>
    <xf numFmtId="0" fontId="2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"/>
  <sheetViews>
    <sheetView tabSelected="1" workbookViewId="0">
      <selection activeCell="K91" sqref="K91"/>
    </sheetView>
  </sheetViews>
  <sheetFormatPr defaultRowHeight="15" x14ac:dyDescent="0.2"/>
  <cols>
    <col min="2" max="2" width="32.41796875" customWidth="1"/>
    <col min="3" max="3" width="7.12890625" customWidth="1"/>
    <col min="4" max="4" width="8.7421875" customWidth="1"/>
    <col min="5" max="7" width="7.26171875" customWidth="1"/>
    <col min="8" max="8" width="10.76171875" bestFit="1" customWidth="1"/>
    <col min="11" max="11" width="10.76171875" bestFit="1" customWidth="1"/>
    <col min="12" max="12" width="18.5625" customWidth="1"/>
  </cols>
  <sheetData>
    <row r="1" spans="1:29" ht="42.75" customHeight="1" thickBot="1" x14ac:dyDescent="0.25">
      <c r="A1" s="15" t="s">
        <v>0</v>
      </c>
      <c r="B1" s="16" t="s">
        <v>1</v>
      </c>
      <c r="C1" s="16" t="s">
        <v>2</v>
      </c>
      <c r="D1" s="17" t="s">
        <v>4</v>
      </c>
      <c r="E1" s="17" t="s">
        <v>6</v>
      </c>
      <c r="F1" s="17" t="s">
        <v>5</v>
      </c>
      <c r="G1" s="17" t="s">
        <v>97</v>
      </c>
      <c r="H1" s="16" t="s">
        <v>8</v>
      </c>
      <c r="I1" s="17" t="s">
        <v>7</v>
      </c>
      <c r="J1" s="16" t="s">
        <v>3</v>
      </c>
      <c r="K1" s="18" t="s">
        <v>98</v>
      </c>
      <c r="L1" s="18" t="s">
        <v>96</v>
      </c>
    </row>
    <row r="2" spans="1:29" s="2" customFormat="1" x14ac:dyDescent="0.2">
      <c r="A2" s="42" t="s">
        <v>9</v>
      </c>
      <c r="B2" s="43" t="s">
        <v>11</v>
      </c>
      <c r="C2" s="44"/>
      <c r="D2" s="44"/>
      <c r="E2" s="44"/>
      <c r="F2" s="44"/>
      <c r="G2" s="44"/>
      <c r="H2" s="44"/>
      <c r="I2" s="44"/>
      <c r="J2" s="44"/>
      <c r="K2" s="44"/>
      <c r="L2" s="51"/>
      <c r="AA2" s="1" t="e">
        <f>RIGHT(#REF!,4)</f>
        <v>#REF!</v>
      </c>
      <c r="AB2" s="1" t="e">
        <f>CONCATENATE(AC2,AA2)</f>
        <v>#REF!</v>
      </c>
      <c r="AC2" s="1">
        <v>2</v>
      </c>
    </row>
    <row r="3" spans="1:29" s="1" customFormat="1" x14ac:dyDescent="0.2">
      <c r="A3" s="12" t="s">
        <v>16</v>
      </c>
      <c r="B3" s="8" t="s">
        <v>10</v>
      </c>
      <c r="C3" s="9"/>
      <c r="D3" s="4"/>
      <c r="E3" s="4"/>
      <c r="F3" s="4"/>
      <c r="G3" s="4"/>
      <c r="H3" s="4"/>
      <c r="I3" s="4"/>
      <c r="J3" s="4"/>
      <c r="K3" s="4"/>
      <c r="L3" s="11"/>
      <c r="AA3" s="1" t="e">
        <f>RIGHT(#REF!,4)</f>
        <v>#REF!</v>
      </c>
      <c r="AB3" s="1" t="e">
        <f>CONCATENATE(AC3,AA3)</f>
        <v>#REF!</v>
      </c>
      <c r="AC3" s="1">
        <v>2</v>
      </c>
    </row>
    <row r="4" spans="1:29" s="1" customFormat="1" x14ac:dyDescent="0.2">
      <c r="A4" s="10" t="s">
        <v>17</v>
      </c>
      <c r="B4" s="6" t="s">
        <v>23</v>
      </c>
      <c r="C4" s="7">
        <v>1</v>
      </c>
      <c r="D4" s="5" t="s">
        <v>99</v>
      </c>
      <c r="E4" s="19">
        <v>10</v>
      </c>
      <c r="F4" s="19" t="s">
        <v>101</v>
      </c>
      <c r="G4" s="19">
        <v>1</v>
      </c>
      <c r="H4" s="19">
        <f>(IF(E4="-",1,E4)*IF(F4="-",1,F4)*IF(G4="-",1,G4))</f>
        <v>10</v>
      </c>
      <c r="I4" s="7" t="s">
        <v>102</v>
      </c>
      <c r="J4" s="32">
        <v>80</v>
      </c>
      <c r="K4" s="32">
        <f>IF(D4="Yes",H4*J4,0)</f>
        <v>800</v>
      </c>
      <c r="L4" s="13"/>
      <c r="AA4" s="1" t="e">
        <f>RIGHT(#REF!,4)</f>
        <v>#REF!</v>
      </c>
      <c r="AB4" s="1" t="e">
        <f>CONCATENATE(AC4,AA4)</f>
        <v>#REF!</v>
      </c>
      <c r="AC4" s="1">
        <v>2</v>
      </c>
    </row>
    <row r="5" spans="1:29" s="1" customFormat="1" x14ac:dyDescent="0.2">
      <c r="A5" s="10" t="s">
        <v>32</v>
      </c>
      <c r="B5" s="6" t="s">
        <v>24</v>
      </c>
      <c r="C5" s="5">
        <v>1</v>
      </c>
      <c r="D5" s="5" t="s">
        <v>99</v>
      </c>
      <c r="E5" s="19">
        <v>10</v>
      </c>
      <c r="F5" s="19" t="s">
        <v>101</v>
      </c>
      <c r="G5" s="19" t="s">
        <v>101</v>
      </c>
      <c r="H5" s="19">
        <f>(IF(E5="-",1,E5)*IF(F5="-",1,F5)*IF(G5="-",1,G5))</f>
        <v>10</v>
      </c>
      <c r="I5" s="5" t="s">
        <v>103</v>
      </c>
      <c r="J5" s="31">
        <v>22</v>
      </c>
      <c r="K5" s="32">
        <f>IF(D5="Yes",H5*J5,0)</f>
        <v>220</v>
      </c>
      <c r="L5" s="13"/>
    </row>
    <row r="6" spans="1:29" s="1" customFormat="1" x14ac:dyDescent="0.2">
      <c r="A6" s="10" t="s">
        <v>105</v>
      </c>
      <c r="B6" s="6" t="s">
        <v>107</v>
      </c>
      <c r="C6" s="5">
        <v>1</v>
      </c>
      <c r="D6" s="5" t="s">
        <v>99</v>
      </c>
      <c r="E6" s="19">
        <v>10</v>
      </c>
      <c r="F6" s="19" t="s">
        <v>101</v>
      </c>
      <c r="G6" s="19" t="s">
        <v>101</v>
      </c>
      <c r="H6" s="19">
        <f>(IF(E6="-",1,E6)*IF(F6="-",1,F6)*IF(G6="-",1,G6))</f>
        <v>10</v>
      </c>
      <c r="I6" s="5" t="s">
        <v>102</v>
      </c>
      <c r="J6" s="31">
        <v>12</v>
      </c>
      <c r="K6" s="32">
        <f>IF(D6="Yes",H6*J6,0)</f>
        <v>120</v>
      </c>
      <c r="L6" s="13"/>
      <c r="AA6" s="1" t="e">
        <f>RIGHT(#REF!,4)</f>
        <v>#REF!</v>
      </c>
      <c r="AB6" s="1" t="e">
        <f t="shared" ref="AB6:AB13" si="0">CONCATENATE(AC6,AA6)</f>
        <v>#REF!</v>
      </c>
      <c r="AC6" s="1">
        <v>2</v>
      </c>
    </row>
    <row r="7" spans="1:29" s="1" customFormat="1" x14ac:dyDescent="0.2">
      <c r="A7" s="10" t="s">
        <v>106</v>
      </c>
      <c r="B7" s="6" t="s">
        <v>25</v>
      </c>
      <c r="C7" s="5">
        <v>1</v>
      </c>
      <c r="D7" s="5" t="s">
        <v>99</v>
      </c>
      <c r="E7" s="19">
        <v>10</v>
      </c>
      <c r="F7" s="19">
        <v>0.3</v>
      </c>
      <c r="G7" s="19">
        <v>0.1</v>
      </c>
      <c r="H7" s="19">
        <f>(IF(E7="-",1,E7)*IF(F7="-",1,F7)*IF(G7="-",1,G7))</f>
        <v>0.30000000000000004</v>
      </c>
      <c r="I7" s="5" t="s">
        <v>102</v>
      </c>
      <c r="J7" s="31">
        <v>2250</v>
      </c>
      <c r="K7" s="32">
        <f>IF(D7="Yes",H7*J7,0)</f>
        <v>675.00000000000011</v>
      </c>
      <c r="L7" s="13"/>
      <c r="AA7" s="1" t="e">
        <f>RIGHT(#REF!,4)</f>
        <v>#REF!</v>
      </c>
      <c r="AB7" s="1" t="e">
        <f t="shared" si="0"/>
        <v>#REF!</v>
      </c>
      <c r="AC7" s="1">
        <v>2</v>
      </c>
    </row>
    <row r="8" spans="1:29" s="1" customFormat="1" x14ac:dyDescent="0.2">
      <c r="A8" s="10" t="s">
        <v>33</v>
      </c>
      <c r="B8" s="6" t="s">
        <v>26</v>
      </c>
      <c r="C8" s="5">
        <v>1</v>
      </c>
      <c r="D8" s="5" t="s">
        <v>99</v>
      </c>
      <c r="E8" s="19">
        <v>10</v>
      </c>
      <c r="F8" s="19" t="s">
        <v>101</v>
      </c>
      <c r="G8" s="19" t="s">
        <v>101</v>
      </c>
      <c r="H8" s="19">
        <f>(IF(E8="-",1,E8)*IF(F8="-",1,F8)*IF(G8="-",1,G8))</f>
        <v>10</v>
      </c>
      <c r="I8" s="5" t="s">
        <v>104</v>
      </c>
      <c r="J8" s="31">
        <v>100</v>
      </c>
      <c r="K8" s="32">
        <f>IF(D8="Yes",H8*J8,0)</f>
        <v>1000</v>
      </c>
      <c r="L8" s="13"/>
      <c r="AA8" s="1" t="e">
        <f>RIGHT(#REF!,5)</f>
        <v>#REF!</v>
      </c>
      <c r="AB8" s="1" t="e">
        <f t="shared" si="0"/>
        <v>#REF!</v>
      </c>
      <c r="AC8" s="1">
        <v>2</v>
      </c>
    </row>
    <row r="9" spans="1:29" s="1" customFormat="1" ht="33" customHeight="1" x14ac:dyDescent="0.2">
      <c r="A9" s="10" t="s">
        <v>34</v>
      </c>
      <c r="B9" s="6" t="s">
        <v>31</v>
      </c>
      <c r="C9" s="5">
        <v>5</v>
      </c>
      <c r="D9" s="5" t="s">
        <v>99</v>
      </c>
      <c r="E9" s="5"/>
      <c r="F9" s="5"/>
      <c r="G9" s="5"/>
      <c r="H9" s="19"/>
      <c r="I9" s="5"/>
      <c r="J9" s="31"/>
      <c r="K9" s="31"/>
      <c r="L9" s="13"/>
      <c r="AA9" s="1" t="e">
        <f>RIGHT(#REF!,4)</f>
        <v>#REF!</v>
      </c>
      <c r="AB9" s="1" t="e">
        <f t="shared" si="0"/>
        <v>#REF!</v>
      </c>
    </row>
    <row r="10" spans="1:29" s="1" customFormat="1" x14ac:dyDescent="0.2">
      <c r="A10" s="14" t="s">
        <v>35</v>
      </c>
      <c r="B10" s="6" t="s">
        <v>28</v>
      </c>
      <c r="C10" s="5">
        <f>C9</f>
        <v>5</v>
      </c>
      <c r="D10" s="5" t="str">
        <f>D9</f>
        <v>Yes</v>
      </c>
      <c r="E10" s="5" t="s">
        <v>101</v>
      </c>
      <c r="F10" s="5" t="s">
        <v>101</v>
      </c>
      <c r="G10" s="5">
        <f>2*(0.033927+0.1*0.35)</f>
        <v>0.13785399999999998</v>
      </c>
      <c r="H10" s="19">
        <f>(IF(E10="-",1,E10)*IF(F10="-",1,F10)*IF(G10="-",1,G10))</f>
        <v>0.13785399999999998</v>
      </c>
      <c r="I10" s="5" t="s">
        <v>103</v>
      </c>
      <c r="J10" s="31">
        <v>12</v>
      </c>
      <c r="K10" s="32">
        <f>IF(D10="Yes",H10*J10,0)</f>
        <v>1.6542479999999997</v>
      </c>
      <c r="L10" s="13"/>
      <c r="AA10" s="1" t="e">
        <f>RIGHT(#REF!,4)</f>
        <v>#REF!</v>
      </c>
      <c r="AB10" s="1" t="e">
        <f t="shared" si="0"/>
        <v>#REF!</v>
      </c>
    </row>
    <row r="11" spans="1:29" s="1" customFormat="1" x14ac:dyDescent="0.2">
      <c r="A11" s="14" t="s">
        <v>36</v>
      </c>
      <c r="B11" s="6" t="s">
        <v>27</v>
      </c>
      <c r="C11" s="5">
        <f>C9</f>
        <v>5</v>
      </c>
      <c r="D11" s="5" t="str">
        <f>D9</f>
        <v>Yes</v>
      </c>
      <c r="E11" s="5">
        <v>0.35</v>
      </c>
      <c r="F11" s="5" t="s">
        <v>101</v>
      </c>
      <c r="G11" s="5">
        <v>3.3926999999999999E-2</v>
      </c>
      <c r="H11" s="19">
        <f>(IF(E11="-",1,E11)*IF(F11="-",1,F11)*IF(G11="-",1,G11))</f>
        <v>1.1874449999999998E-2</v>
      </c>
      <c r="I11" s="5" t="s">
        <v>102</v>
      </c>
      <c r="J11" s="31">
        <v>2650</v>
      </c>
      <c r="K11" s="32">
        <f>IF(D11="Yes",H11*J11,0)</f>
        <v>31.467292499999996</v>
      </c>
      <c r="L11" s="13"/>
      <c r="AA11" s="1" t="e">
        <f>RIGHT(#REF!,5)</f>
        <v>#REF!</v>
      </c>
      <c r="AB11" s="1" t="e">
        <f t="shared" si="0"/>
        <v>#REF!</v>
      </c>
      <c r="AC11" s="1">
        <v>2</v>
      </c>
    </row>
    <row r="12" spans="1:29" s="1" customFormat="1" ht="30" x14ac:dyDescent="0.2">
      <c r="A12" s="10" t="s">
        <v>37</v>
      </c>
      <c r="B12" s="6" t="s">
        <v>30</v>
      </c>
      <c r="C12" s="5">
        <v>1</v>
      </c>
      <c r="D12" s="5" t="s">
        <v>100</v>
      </c>
      <c r="E12" s="5"/>
      <c r="F12" s="5"/>
      <c r="G12" s="5"/>
      <c r="H12" s="19"/>
      <c r="I12" s="5"/>
      <c r="J12" s="31"/>
      <c r="K12" s="32"/>
      <c r="L12" s="13"/>
      <c r="AA12" s="1" t="e">
        <f>RIGHT(#REF!,4)</f>
        <v>#REF!</v>
      </c>
      <c r="AB12" s="1" t="e">
        <f t="shared" si="0"/>
        <v>#REF!</v>
      </c>
    </row>
    <row r="13" spans="1:29" s="1" customFormat="1" x14ac:dyDescent="0.2">
      <c r="A13" s="14" t="s">
        <v>35</v>
      </c>
      <c r="B13" s="6" t="s">
        <v>28</v>
      </c>
      <c r="C13" s="5">
        <f>C12</f>
        <v>1</v>
      </c>
      <c r="D13" s="5" t="str">
        <f>D12</f>
        <v>No</v>
      </c>
      <c r="E13" s="5">
        <v>10</v>
      </c>
      <c r="F13" s="5">
        <f>0.1*2</f>
        <v>0.2</v>
      </c>
      <c r="G13" s="5" t="s">
        <v>101</v>
      </c>
      <c r="H13" s="19">
        <f>(IF(E13="-",1,E13)*IF(F13="-",1,F13)*IF(G13="-",1,G13))</f>
        <v>2</v>
      </c>
      <c r="I13" s="5" t="s">
        <v>103</v>
      </c>
      <c r="J13" s="31">
        <v>12</v>
      </c>
      <c r="K13" s="32">
        <f>IF(D13="Yes",H13*J13,0)</f>
        <v>0</v>
      </c>
      <c r="L13" s="13"/>
      <c r="AA13" s="1" t="e">
        <f>RIGHT(#REF!,4)</f>
        <v>#REF!</v>
      </c>
      <c r="AB13" s="1" t="e">
        <f t="shared" si="0"/>
        <v>#REF!</v>
      </c>
    </row>
    <row r="14" spans="1:29" s="1" customFormat="1" x14ac:dyDescent="0.2">
      <c r="A14" s="14" t="s">
        <v>36</v>
      </c>
      <c r="B14" s="6" t="s">
        <v>27</v>
      </c>
      <c r="C14" s="5">
        <f>C12</f>
        <v>1</v>
      </c>
      <c r="D14" s="5" t="str">
        <f>D12</f>
        <v>No</v>
      </c>
      <c r="E14" s="5">
        <v>10</v>
      </c>
      <c r="F14" s="5" t="s">
        <v>101</v>
      </c>
      <c r="G14" s="5">
        <v>3.3926999999999999E-2</v>
      </c>
      <c r="H14" s="19">
        <f>(IF(E14="-",1,E14)*IF(F14="-",1,F14)*IF(G14="-",1,G14))</f>
        <v>0.33926999999999996</v>
      </c>
      <c r="I14" s="5" t="s">
        <v>102</v>
      </c>
      <c r="J14" s="31">
        <v>2250</v>
      </c>
      <c r="K14" s="32">
        <f>IF(D14="Yes",H14*J14,0)</f>
        <v>0</v>
      </c>
      <c r="L14" s="13"/>
    </row>
    <row r="15" spans="1:29" s="1" customFormat="1" ht="30" x14ac:dyDescent="0.2">
      <c r="A15" s="10" t="s">
        <v>38</v>
      </c>
      <c r="B15" s="6" t="s">
        <v>29</v>
      </c>
      <c r="C15" s="5">
        <v>1</v>
      </c>
      <c r="D15" s="5" t="s">
        <v>100</v>
      </c>
      <c r="E15" s="5"/>
      <c r="F15" s="5"/>
      <c r="G15" s="5"/>
      <c r="H15" s="19"/>
      <c r="I15" s="5"/>
      <c r="J15" s="31"/>
      <c r="K15" s="31"/>
      <c r="L15" s="13"/>
      <c r="AA15" s="1" t="e">
        <f>RIGHT(#REF!,4)</f>
        <v>#REF!</v>
      </c>
      <c r="AB15" s="1" t="e">
        <f>CONCATENATE(AC15,AA15)</f>
        <v>#REF!</v>
      </c>
      <c r="AC15" s="1">
        <v>2</v>
      </c>
    </row>
    <row r="16" spans="1:29" s="1" customFormat="1" x14ac:dyDescent="0.2">
      <c r="A16" s="14" t="s">
        <v>35</v>
      </c>
      <c r="B16" s="6" t="s">
        <v>28</v>
      </c>
      <c r="C16" s="5">
        <f>C15</f>
        <v>1</v>
      </c>
      <c r="D16" s="5" t="str">
        <f>D15</f>
        <v>No</v>
      </c>
      <c r="E16" s="5">
        <v>10</v>
      </c>
      <c r="F16" s="5">
        <f>0.1*2</f>
        <v>0.2</v>
      </c>
      <c r="G16" s="5" t="s">
        <v>101</v>
      </c>
      <c r="H16" s="19">
        <f>(IF(E16="-",1,E16)*IF(F16="-",1,F16)*IF(G16="-",1,G16))</f>
        <v>2</v>
      </c>
      <c r="I16" s="5" t="s">
        <v>103</v>
      </c>
      <c r="J16" s="31">
        <v>12</v>
      </c>
      <c r="K16" s="32">
        <f>IF(D16="Yes",H16*J16,0)</f>
        <v>0</v>
      </c>
      <c r="L16" s="13"/>
      <c r="AA16" s="1" t="e">
        <f>RIGHT(#REF!,4)</f>
        <v>#REF!</v>
      </c>
      <c r="AB16" s="1" t="e">
        <f>CONCATENATE(AC16,AA16)</f>
        <v>#REF!</v>
      </c>
      <c r="AC16" s="1">
        <v>2</v>
      </c>
    </row>
    <row r="17" spans="1:29" s="1" customFormat="1" x14ac:dyDescent="0.2">
      <c r="A17" s="20" t="s">
        <v>36</v>
      </c>
      <c r="B17" s="21" t="s">
        <v>27</v>
      </c>
      <c r="C17" s="22">
        <f>C15</f>
        <v>1</v>
      </c>
      <c r="D17" s="22" t="str">
        <f>D15</f>
        <v>No</v>
      </c>
      <c r="E17" s="22">
        <v>10</v>
      </c>
      <c r="F17" s="22" t="s">
        <v>101</v>
      </c>
      <c r="G17" s="22">
        <f>2*0.002146</f>
        <v>4.2919999999999998E-3</v>
      </c>
      <c r="H17" s="23">
        <f>(IF(E17="-",1,E17)*IF(F17="-",1,F17)*IF(G17="-",1,G17))</f>
        <v>4.292E-2</v>
      </c>
      <c r="I17" s="22" t="s">
        <v>102</v>
      </c>
      <c r="J17" s="31">
        <v>2450</v>
      </c>
      <c r="K17" s="32">
        <f>IF(D17="Yes",H17*J17,0)</f>
        <v>0</v>
      </c>
      <c r="L17" s="24"/>
      <c r="AA17" s="1" t="e">
        <f>RIGHT(#REF!,4)</f>
        <v>#REF!</v>
      </c>
      <c r="AB17" s="1" t="e">
        <f>CONCATENATE(AC17,AA17)</f>
        <v>#REF!</v>
      </c>
      <c r="AC17" s="1">
        <v>2</v>
      </c>
    </row>
    <row r="18" spans="1:29" s="1" customFormat="1" ht="15.75" thickBot="1" x14ac:dyDescent="0.25">
      <c r="A18" s="34"/>
      <c r="B18" s="35"/>
      <c r="C18" s="36"/>
      <c r="D18" s="36"/>
      <c r="E18" s="36"/>
      <c r="F18" s="36"/>
      <c r="G18" s="36"/>
      <c r="H18" s="37"/>
      <c r="I18" s="38"/>
      <c r="J18" s="39" t="s">
        <v>116</v>
      </c>
      <c r="K18" s="40">
        <f>SUM(K4:K17)</f>
        <v>2848.1215404999998</v>
      </c>
      <c r="L18" s="41" t="str">
        <f>TEXT(K18/10,"0.0 ₹")&amp;" Per Mtr"</f>
        <v>284.8 ₹ Per Mtr</v>
      </c>
    </row>
    <row r="19" spans="1:29" x14ac:dyDescent="0.2">
      <c r="A19" s="12" t="s">
        <v>18</v>
      </c>
      <c r="B19" s="8" t="s">
        <v>12</v>
      </c>
      <c r="C19" s="25"/>
      <c r="D19" s="26"/>
      <c r="E19" s="26"/>
      <c r="F19" s="26"/>
      <c r="G19" s="26"/>
      <c r="H19" s="26"/>
      <c r="I19" s="26"/>
      <c r="J19" s="26"/>
      <c r="K19" s="26"/>
      <c r="L19" s="27"/>
      <c r="AA19" s="1" t="e">
        <f>RIGHT(#REF!,4)</f>
        <v>#REF!</v>
      </c>
      <c r="AB19" s="1" t="e">
        <f t="shared" ref="AB19:AB26" si="1">CONCATENATE(AC19,AA19)</f>
        <v>#REF!</v>
      </c>
      <c r="AC19" s="1">
        <v>2</v>
      </c>
    </row>
    <row r="20" spans="1:29" s="1" customFormat="1" x14ac:dyDescent="0.2">
      <c r="A20" s="10" t="s">
        <v>19</v>
      </c>
      <c r="B20" s="6" t="s">
        <v>23</v>
      </c>
      <c r="C20" s="7">
        <v>1</v>
      </c>
      <c r="D20" s="5" t="s">
        <v>99</v>
      </c>
      <c r="E20" s="19">
        <v>10</v>
      </c>
      <c r="F20" s="19" t="s">
        <v>101</v>
      </c>
      <c r="G20" s="19">
        <v>1</v>
      </c>
      <c r="H20" s="19">
        <f>(IF(E20="-",1,E20)*IF(F20="-",1,F20)*IF(G20="-",1,G20))</f>
        <v>10</v>
      </c>
      <c r="I20" s="7" t="s">
        <v>102</v>
      </c>
      <c r="J20" s="32">
        <v>80</v>
      </c>
      <c r="K20" s="32">
        <f>IF(D20="Yes",H20*J20,0)</f>
        <v>800</v>
      </c>
      <c r="L20" s="13"/>
      <c r="AA20" s="1" t="e">
        <f>RIGHT(#REF!,4)</f>
        <v>#REF!</v>
      </c>
      <c r="AB20" s="1" t="e">
        <f t="shared" si="1"/>
        <v>#REF!</v>
      </c>
      <c r="AC20" s="1">
        <v>2</v>
      </c>
    </row>
    <row r="21" spans="1:29" s="1" customFormat="1" x14ac:dyDescent="0.2">
      <c r="A21" s="10" t="s">
        <v>39</v>
      </c>
      <c r="B21" s="6" t="s">
        <v>24</v>
      </c>
      <c r="C21" s="5">
        <v>1</v>
      </c>
      <c r="D21" s="5" t="s">
        <v>99</v>
      </c>
      <c r="E21" s="19">
        <v>10</v>
      </c>
      <c r="F21" s="19" t="s">
        <v>101</v>
      </c>
      <c r="G21" s="19" t="s">
        <v>101</v>
      </c>
      <c r="H21" s="19">
        <f>(IF(E21="-",1,E21)*IF(F21="-",1,F21)*IF(G21="-",1,G21))</f>
        <v>10</v>
      </c>
      <c r="I21" s="5" t="s">
        <v>103</v>
      </c>
      <c r="J21" s="31">
        <v>22</v>
      </c>
      <c r="K21" s="32">
        <f>IF(D21="Yes",H21*J21,0)</f>
        <v>220</v>
      </c>
      <c r="L21" s="13"/>
      <c r="AA21" s="1" t="e">
        <f>RIGHT(#REF!,5)</f>
        <v>#REF!</v>
      </c>
      <c r="AB21" s="1" t="e">
        <f t="shared" si="1"/>
        <v>#REF!</v>
      </c>
      <c r="AC21" s="1">
        <v>2</v>
      </c>
    </row>
    <row r="22" spans="1:29" s="1" customFormat="1" x14ac:dyDescent="0.2">
      <c r="A22" s="10" t="s">
        <v>108</v>
      </c>
      <c r="B22" s="6" t="s">
        <v>107</v>
      </c>
      <c r="C22" s="5">
        <v>1</v>
      </c>
      <c r="D22" s="5" t="s">
        <v>99</v>
      </c>
      <c r="E22" s="19">
        <v>10</v>
      </c>
      <c r="F22" s="19" t="s">
        <v>101</v>
      </c>
      <c r="G22" s="19" t="s">
        <v>101</v>
      </c>
      <c r="H22" s="19">
        <f>(IF(E22="-",1,E22)*IF(F22="-",1,F22)*IF(G22="-",1,G22))</f>
        <v>10</v>
      </c>
      <c r="I22" s="5" t="s">
        <v>102</v>
      </c>
      <c r="J22" s="31">
        <v>12</v>
      </c>
      <c r="K22" s="32">
        <f>IF(D22="Yes",H22*J22,0)</f>
        <v>120</v>
      </c>
      <c r="L22" s="13"/>
      <c r="AA22" s="1" t="e">
        <f>RIGHT(#REF!,4)</f>
        <v>#REF!</v>
      </c>
      <c r="AB22" s="1" t="e">
        <f t="shared" si="1"/>
        <v>#REF!</v>
      </c>
      <c r="AC22" s="1">
        <v>2</v>
      </c>
    </row>
    <row r="23" spans="1:29" s="1" customFormat="1" x14ac:dyDescent="0.2">
      <c r="A23" s="10" t="s">
        <v>109</v>
      </c>
      <c r="B23" s="6" t="s">
        <v>25</v>
      </c>
      <c r="C23" s="5">
        <v>1</v>
      </c>
      <c r="D23" s="5" t="s">
        <v>99</v>
      </c>
      <c r="E23" s="19">
        <v>10</v>
      </c>
      <c r="F23" s="19">
        <v>0.35</v>
      </c>
      <c r="G23" s="19">
        <v>0.1</v>
      </c>
      <c r="H23" s="19">
        <f>(IF(E23="-",1,E23)*IF(F23="-",1,F23)*IF(G23="-",1,G23))</f>
        <v>0.35000000000000003</v>
      </c>
      <c r="I23" s="5" t="s">
        <v>102</v>
      </c>
      <c r="J23" s="31">
        <v>2250</v>
      </c>
      <c r="K23" s="32">
        <f>IF(D23="Yes",H23*J23,0)</f>
        <v>787.50000000000011</v>
      </c>
      <c r="L23" s="13"/>
      <c r="AA23" s="1" t="e">
        <f>RIGHT(#REF!,4)</f>
        <v>#REF!</v>
      </c>
      <c r="AB23" s="1" t="e">
        <f t="shared" si="1"/>
        <v>#REF!</v>
      </c>
      <c r="AC23" s="1">
        <v>2</v>
      </c>
    </row>
    <row r="24" spans="1:29" s="1" customFormat="1" x14ac:dyDescent="0.2">
      <c r="A24" s="10" t="s">
        <v>40</v>
      </c>
      <c r="B24" s="6" t="s">
        <v>26</v>
      </c>
      <c r="C24" s="5">
        <v>1</v>
      </c>
      <c r="D24" s="5" t="s">
        <v>99</v>
      </c>
      <c r="E24" s="19">
        <v>10</v>
      </c>
      <c r="F24" s="19" t="s">
        <v>101</v>
      </c>
      <c r="G24" s="19" t="s">
        <v>101</v>
      </c>
      <c r="H24" s="19">
        <f>(IF(E24="-",1,E24)*IF(F24="-",1,F24)*IF(G24="-",1,G24))</f>
        <v>10</v>
      </c>
      <c r="I24" s="5" t="s">
        <v>104</v>
      </c>
      <c r="J24" s="31">
        <v>120</v>
      </c>
      <c r="K24" s="32">
        <f>IF(D24="Yes",H24*J24,0)</f>
        <v>1200</v>
      </c>
      <c r="L24" s="13"/>
      <c r="AA24" s="1" t="e">
        <f>RIGHT(#REF!,5)</f>
        <v>#REF!</v>
      </c>
      <c r="AB24" s="1" t="e">
        <f t="shared" si="1"/>
        <v>#REF!</v>
      </c>
      <c r="AC24" s="1">
        <v>2</v>
      </c>
    </row>
    <row r="25" spans="1:29" s="1" customFormat="1" ht="33" customHeight="1" x14ac:dyDescent="0.2">
      <c r="A25" s="10" t="s">
        <v>41</v>
      </c>
      <c r="B25" s="6" t="s">
        <v>31</v>
      </c>
      <c r="C25" s="5">
        <v>5</v>
      </c>
      <c r="D25" s="5" t="s">
        <v>99</v>
      </c>
      <c r="E25" s="5"/>
      <c r="F25" s="5"/>
      <c r="G25" s="5"/>
      <c r="H25" s="19"/>
      <c r="I25" s="5"/>
      <c r="J25" s="31"/>
      <c r="K25" s="31"/>
      <c r="L25" s="13"/>
      <c r="AA25" s="1" t="e">
        <f>RIGHT(#REF!,4)</f>
        <v>#REF!</v>
      </c>
      <c r="AB25" s="1" t="e">
        <f t="shared" si="1"/>
        <v>#REF!</v>
      </c>
      <c r="AC25" s="1">
        <v>2</v>
      </c>
    </row>
    <row r="26" spans="1:29" s="1" customFormat="1" x14ac:dyDescent="0.2">
      <c r="A26" s="14" t="s">
        <v>35</v>
      </c>
      <c r="B26" s="6" t="s">
        <v>28</v>
      </c>
      <c r="C26" s="5">
        <f>C25</f>
        <v>5</v>
      </c>
      <c r="D26" s="5" t="str">
        <f>D25</f>
        <v>Yes</v>
      </c>
      <c r="E26" s="5" t="s">
        <v>101</v>
      </c>
      <c r="F26" s="5" t="s">
        <v>101</v>
      </c>
      <c r="G26" s="5">
        <f>2*(0.042768+0.125*0.35)</f>
        <v>0.173036</v>
      </c>
      <c r="H26" s="19">
        <f>(IF(E26="-",1,E26)*IF(F26="-",1,F26)*IF(G26="-",1,G26))</f>
        <v>0.173036</v>
      </c>
      <c r="I26" s="5" t="s">
        <v>103</v>
      </c>
      <c r="J26" s="31">
        <v>12</v>
      </c>
      <c r="K26" s="32">
        <f>IF(D26="Yes",H26*J26,0)</f>
        <v>2.0764320000000001</v>
      </c>
      <c r="L26" s="13"/>
      <c r="AA26" s="1" t="e">
        <f>RIGHT(#REF!,4)</f>
        <v>#REF!</v>
      </c>
      <c r="AB26" s="1" t="e">
        <f t="shared" si="1"/>
        <v>#REF!</v>
      </c>
      <c r="AC26" s="1">
        <v>2</v>
      </c>
    </row>
    <row r="27" spans="1:29" s="1" customFormat="1" x14ac:dyDescent="0.2">
      <c r="A27" s="14" t="s">
        <v>36</v>
      </c>
      <c r="B27" s="6" t="s">
        <v>27</v>
      </c>
      <c r="C27" s="5">
        <f>C25</f>
        <v>5</v>
      </c>
      <c r="D27" s="5" t="str">
        <f>D25</f>
        <v>Yes</v>
      </c>
      <c r="E27" s="5">
        <v>0.4</v>
      </c>
      <c r="F27" s="5" t="s">
        <v>101</v>
      </c>
      <c r="G27" s="5">
        <v>4.2768E-2</v>
      </c>
      <c r="H27" s="19">
        <f>(IF(E27="-",1,E27)*IF(F27="-",1,F27)*IF(G27="-",1,G27))</f>
        <v>1.7107199999999999E-2</v>
      </c>
      <c r="I27" s="5" t="s">
        <v>102</v>
      </c>
      <c r="J27" s="31">
        <v>2650</v>
      </c>
      <c r="K27" s="32">
        <f>IF(D27="Yes",H27*J27,0)</f>
        <v>45.33408</v>
      </c>
      <c r="L27" s="13"/>
    </row>
    <row r="28" spans="1:29" s="1" customFormat="1" ht="30" x14ac:dyDescent="0.2">
      <c r="A28" s="10" t="s">
        <v>42</v>
      </c>
      <c r="B28" s="6" t="s">
        <v>30</v>
      </c>
      <c r="C28" s="5">
        <v>1</v>
      </c>
      <c r="D28" s="5" t="s">
        <v>100</v>
      </c>
      <c r="E28" s="5"/>
      <c r="F28" s="5"/>
      <c r="G28" s="5"/>
      <c r="H28" s="19"/>
      <c r="I28" s="5"/>
      <c r="J28" s="31"/>
      <c r="K28" s="32"/>
      <c r="L28" s="13"/>
      <c r="AA28" s="1" t="e">
        <f>RIGHT(#REF!,4)</f>
        <v>#REF!</v>
      </c>
      <c r="AB28" s="1" t="e">
        <f>CONCATENATE(AC28,AA28)</f>
        <v>#REF!</v>
      </c>
      <c r="AC28" s="1">
        <v>2</v>
      </c>
    </row>
    <row r="29" spans="1:29" s="1" customFormat="1" x14ac:dyDescent="0.2">
      <c r="A29" s="14" t="s">
        <v>35</v>
      </c>
      <c r="B29" s="6" t="s">
        <v>28</v>
      </c>
      <c r="C29" s="5">
        <f>C28</f>
        <v>1</v>
      </c>
      <c r="D29" s="5" t="str">
        <f>D28</f>
        <v>No</v>
      </c>
      <c r="E29" s="5">
        <v>10</v>
      </c>
      <c r="F29" s="5">
        <f>0.125*2</f>
        <v>0.25</v>
      </c>
      <c r="G29" s="5" t="s">
        <v>101</v>
      </c>
      <c r="H29" s="19">
        <f>(IF(E29="-",1,E29)*IF(F29="-",1,F29)*IF(G29="-",1,G29))</f>
        <v>2.5</v>
      </c>
      <c r="I29" s="5" t="s">
        <v>103</v>
      </c>
      <c r="J29" s="31">
        <v>12</v>
      </c>
      <c r="K29" s="32">
        <f>IF(D29="Yes",H29*J29,0)</f>
        <v>0</v>
      </c>
      <c r="L29" s="13"/>
      <c r="AA29" s="1" t="e">
        <f>RIGHT(#REF!,4)</f>
        <v>#REF!</v>
      </c>
      <c r="AB29" s="1" t="e">
        <f>CONCATENATE(AC29,AA29)</f>
        <v>#REF!</v>
      </c>
      <c r="AC29" s="1">
        <v>2</v>
      </c>
    </row>
    <row r="30" spans="1:29" s="1" customFormat="1" x14ac:dyDescent="0.2">
      <c r="A30" s="14" t="s">
        <v>36</v>
      </c>
      <c r="B30" s="6" t="s">
        <v>27</v>
      </c>
      <c r="C30" s="5">
        <f>C28</f>
        <v>1</v>
      </c>
      <c r="D30" s="5" t="str">
        <f>D28</f>
        <v>No</v>
      </c>
      <c r="E30" s="5">
        <v>10</v>
      </c>
      <c r="F30" s="5" t="s">
        <v>101</v>
      </c>
      <c r="G30" s="5">
        <v>4.2768E-2</v>
      </c>
      <c r="H30" s="19">
        <f>(IF(E30="-",1,E30)*IF(F30="-",1,F30)*IF(G30="-",1,G30))</f>
        <v>0.42768</v>
      </c>
      <c r="I30" s="5" t="s">
        <v>102</v>
      </c>
      <c r="J30" s="31">
        <v>2250</v>
      </c>
      <c r="K30" s="32">
        <f>IF(D30="Yes",H30*J30,0)</f>
        <v>0</v>
      </c>
      <c r="L30" s="13"/>
      <c r="AA30" s="1" t="e">
        <f>RIGHT(#REF!,4)</f>
        <v>#REF!</v>
      </c>
      <c r="AB30" s="1" t="e">
        <f>CONCATENATE(AC30,AA30)</f>
        <v>#REF!</v>
      </c>
      <c r="AC30" s="1">
        <v>2</v>
      </c>
    </row>
    <row r="31" spans="1:29" s="1" customFormat="1" ht="30" x14ac:dyDescent="0.2">
      <c r="A31" s="10" t="s">
        <v>43</v>
      </c>
      <c r="B31" s="6" t="s">
        <v>29</v>
      </c>
      <c r="C31" s="5">
        <v>1</v>
      </c>
      <c r="D31" s="5" t="s">
        <v>100</v>
      </c>
      <c r="E31" s="5"/>
      <c r="F31" s="5"/>
      <c r="G31" s="5"/>
      <c r="H31" s="19"/>
      <c r="I31" s="5"/>
      <c r="J31" s="31"/>
      <c r="K31" s="31"/>
      <c r="L31" s="13"/>
    </row>
    <row r="32" spans="1:29" s="1" customFormat="1" x14ac:dyDescent="0.2">
      <c r="A32" s="14" t="s">
        <v>35</v>
      </c>
      <c r="B32" s="6" t="s">
        <v>28</v>
      </c>
      <c r="C32" s="5">
        <f>C31</f>
        <v>1</v>
      </c>
      <c r="D32" s="5" t="str">
        <f>D31</f>
        <v>No</v>
      </c>
      <c r="E32" s="5">
        <v>10</v>
      </c>
      <c r="F32" s="5">
        <f>0.125*2</f>
        <v>0.25</v>
      </c>
      <c r="G32" s="5" t="s">
        <v>101</v>
      </c>
      <c r="H32" s="19">
        <f>(IF(E32="-",1,E32)*IF(F32="-",1,F32)*IF(G32="-",1,G32))</f>
        <v>2.5</v>
      </c>
      <c r="I32" s="5" t="s">
        <v>103</v>
      </c>
      <c r="J32" s="31">
        <v>12</v>
      </c>
      <c r="K32" s="32">
        <f>IF(D32="Yes",H32*J32,0)</f>
        <v>0</v>
      </c>
      <c r="L32" s="13"/>
      <c r="AA32" s="1" t="e">
        <f>RIGHT(#REF!,4)</f>
        <v>#REF!</v>
      </c>
      <c r="AB32" s="1" t="e">
        <f t="shared" ref="AB32:AB39" si="2">CONCATENATE(AC32,AA32)</f>
        <v>#REF!</v>
      </c>
      <c r="AC32" s="1">
        <v>2</v>
      </c>
    </row>
    <row r="33" spans="1:29" s="1" customFormat="1" x14ac:dyDescent="0.2">
      <c r="A33" s="14" t="s">
        <v>36</v>
      </c>
      <c r="B33" s="6" t="s">
        <v>27</v>
      </c>
      <c r="C33" s="22">
        <f>C31</f>
        <v>1</v>
      </c>
      <c r="D33" s="22" t="str">
        <f>D31</f>
        <v>No</v>
      </c>
      <c r="E33" s="22">
        <v>10</v>
      </c>
      <c r="F33" s="22" t="s">
        <v>101</v>
      </c>
      <c r="G33" s="22">
        <f>2*0.003353</f>
        <v>6.7060000000000002E-3</v>
      </c>
      <c r="H33" s="23">
        <f>(IF(E33="-",1,E33)*IF(F33="-",1,F33)*IF(G33="-",1,G33))</f>
        <v>6.7060000000000008E-2</v>
      </c>
      <c r="I33" s="22" t="s">
        <v>102</v>
      </c>
      <c r="J33" s="31">
        <v>2450</v>
      </c>
      <c r="K33" s="32">
        <f>IF(D33="Yes",H33*J33,0)</f>
        <v>0</v>
      </c>
      <c r="L33" s="13"/>
      <c r="AA33" s="1" t="e">
        <f>RIGHT(#REF!,4)</f>
        <v>#REF!</v>
      </c>
      <c r="AB33" s="1" t="e">
        <f t="shared" si="2"/>
        <v>#REF!</v>
      </c>
      <c r="AC33" s="1">
        <v>2</v>
      </c>
    </row>
    <row r="34" spans="1:29" s="1" customFormat="1" ht="15.75" thickBot="1" x14ac:dyDescent="0.25">
      <c r="A34" s="34"/>
      <c r="B34" s="35"/>
      <c r="C34" s="36"/>
      <c r="D34" s="36"/>
      <c r="E34" s="36"/>
      <c r="F34" s="36"/>
      <c r="G34" s="36"/>
      <c r="H34" s="37"/>
      <c r="I34" s="38"/>
      <c r="J34" s="39" t="s">
        <v>116</v>
      </c>
      <c r="K34" s="40">
        <f>SUM(K20:K33)</f>
        <v>3174.9105119999999</v>
      </c>
      <c r="L34" s="41" t="str">
        <f>TEXT(K34/10,"0.0 ₹")&amp;" Per Mtr"</f>
        <v>317.5 ₹ Per Mtr</v>
      </c>
      <c r="AA34" s="1" t="e">
        <f>RIGHT(#REF!,5)</f>
        <v>#REF!</v>
      </c>
      <c r="AB34" s="1" t="e">
        <f t="shared" si="2"/>
        <v>#REF!</v>
      </c>
      <c r="AC34" s="1">
        <v>2</v>
      </c>
    </row>
    <row r="35" spans="1:29" x14ac:dyDescent="0.2">
      <c r="A35" s="12" t="s">
        <v>20</v>
      </c>
      <c r="B35" s="8" t="s">
        <v>13</v>
      </c>
      <c r="C35" s="25"/>
      <c r="D35" s="26"/>
      <c r="E35" s="26"/>
      <c r="F35" s="26"/>
      <c r="G35" s="26"/>
      <c r="H35" s="26"/>
      <c r="I35" s="26"/>
      <c r="J35" s="26"/>
      <c r="K35" s="26"/>
      <c r="L35" s="27"/>
      <c r="AA35" s="1" t="e">
        <f>RIGHT(#REF!,4)</f>
        <v>#REF!</v>
      </c>
      <c r="AB35" s="1" t="e">
        <f t="shared" si="2"/>
        <v>#REF!</v>
      </c>
      <c r="AC35" s="1">
        <v>2</v>
      </c>
    </row>
    <row r="36" spans="1:29" s="1" customFormat="1" x14ac:dyDescent="0.2">
      <c r="A36" s="10" t="s">
        <v>44</v>
      </c>
      <c r="B36" s="6" t="s">
        <v>23</v>
      </c>
      <c r="C36" s="7">
        <v>1</v>
      </c>
      <c r="D36" s="5" t="s">
        <v>99</v>
      </c>
      <c r="E36" s="19">
        <v>10</v>
      </c>
      <c r="F36" s="19" t="s">
        <v>101</v>
      </c>
      <c r="G36" s="19">
        <v>1</v>
      </c>
      <c r="H36" s="19">
        <f>(IF(E36="-",1,E36)*IF(F36="-",1,F36)*IF(G36="-",1,G36))</f>
        <v>10</v>
      </c>
      <c r="I36" s="7" t="s">
        <v>102</v>
      </c>
      <c r="J36" s="32">
        <v>80</v>
      </c>
      <c r="K36" s="32">
        <f>IF(D36="Yes",H36*J36,0)</f>
        <v>800</v>
      </c>
      <c r="L36" s="13"/>
      <c r="AA36" s="1" t="e">
        <f>RIGHT(#REF!,4)</f>
        <v>#REF!</v>
      </c>
      <c r="AB36" s="1" t="e">
        <f t="shared" si="2"/>
        <v>#REF!</v>
      </c>
      <c r="AC36" s="1">
        <v>2</v>
      </c>
    </row>
    <row r="37" spans="1:29" s="1" customFormat="1" x14ac:dyDescent="0.2">
      <c r="A37" s="10" t="s">
        <v>45</v>
      </c>
      <c r="B37" s="6" t="s">
        <v>24</v>
      </c>
      <c r="C37" s="5">
        <v>1</v>
      </c>
      <c r="D37" s="5" t="s">
        <v>99</v>
      </c>
      <c r="E37" s="19">
        <v>10</v>
      </c>
      <c r="F37" s="19" t="s">
        <v>101</v>
      </c>
      <c r="G37" s="19" t="s">
        <v>101</v>
      </c>
      <c r="H37" s="19">
        <f>(IF(E37="-",1,E37)*IF(F37="-",1,F37)*IF(G37="-",1,G37))</f>
        <v>10</v>
      </c>
      <c r="I37" s="5" t="s">
        <v>103</v>
      </c>
      <c r="J37" s="31">
        <v>22</v>
      </c>
      <c r="K37" s="32">
        <f>IF(D37="Yes",H37*J37,0)</f>
        <v>220</v>
      </c>
      <c r="L37" s="13"/>
      <c r="AA37" s="1" t="e">
        <f>RIGHT(#REF!,5)</f>
        <v>#REF!</v>
      </c>
      <c r="AB37" s="1" t="e">
        <f t="shared" si="2"/>
        <v>#REF!</v>
      </c>
      <c r="AC37" s="1">
        <v>2</v>
      </c>
    </row>
    <row r="38" spans="1:29" s="1" customFormat="1" x14ac:dyDescent="0.2">
      <c r="A38" s="10" t="s">
        <v>110</v>
      </c>
      <c r="B38" s="6" t="s">
        <v>107</v>
      </c>
      <c r="C38" s="5">
        <v>1</v>
      </c>
      <c r="D38" s="5" t="s">
        <v>99</v>
      </c>
      <c r="E38" s="19">
        <v>10</v>
      </c>
      <c r="F38" s="19" t="s">
        <v>101</v>
      </c>
      <c r="G38" s="19" t="s">
        <v>101</v>
      </c>
      <c r="H38" s="19">
        <f>(IF(E38="-",1,E38)*IF(F38="-",1,F38)*IF(G38="-",1,G38))</f>
        <v>10</v>
      </c>
      <c r="I38" s="5" t="s">
        <v>102</v>
      </c>
      <c r="J38" s="31">
        <v>12</v>
      </c>
      <c r="K38" s="32">
        <f>IF(D38="Yes",H38*J38,0)</f>
        <v>120</v>
      </c>
      <c r="L38" s="13"/>
      <c r="AA38" s="1" t="e">
        <f>RIGHT(#REF!,4)</f>
        <v>#REF!</v>
      </c>
      <c r="AB38" s="1" t="e">
        <f t="shared" si="2"/>
        <v>#REF!</v>
      </c>
      <c r="AC38" s="1">
        <v>2</v>
      </c>
    </row>
    <row r="39" spans="1:29" s="1" customFormat="1" x14ac:dyDescent="0.2">
      <c r="A39" s="10" t="s">
        <v>111</v>
      </c>
      <c r="B39" s="6" t="s">
        <v>25</v>
      </c>
      <c r="C39" s="5">
        <v>1</v>
      </c>
      <c r="D39" s="5" t="s">
        <v>99</v>
      </c>
      <c r="E39" s="19">
        <v>10</v>
      </c>
      <c r="F39" s="19">
        <v>0.4</v>
      </c>
      <c r="G39" s="19">
        <v>0.1</v>
      </c>
      <c r="H39" s="19">
        <f>(IF(E39="-",1,E39)*IF(F39="-",1,F39)*IF(G39="-",1,G39))</f>
        <v>0.4</v>
      </c>
      <c r="I39" s="5" t="s">
        <v>102</v>
      </c>
      <c r="J39" s="31">
        <v>2250</v>
      </c>
      <c r="K39" s="32">
        <f>IF(D39="Yes",H39*J39,0)</f>
        <v>900</v>
      </c>
      <c r="L39" s="13"/>
      <c r="AA39" s="1" t="e">
        <f>RIGHT(#REF!,4)</f>
        <v>#REF!</v>
      </c>
      <c r="AB39" s="1" t="e">
        <f t="shared" si="2"/>
        <v>#REF!</v>
      </c>
      <c r="AC39" s="1">
        <v>2</v>
      </c>
    </row>
    <row r="40" spans="1:29" s="1" customFormat="1" x14ac:dyDescent="0.2">
      <c r="A40" s="10" t="s">
        <v>46</v>
      </c>
      <c r="B40" s="6" t="s">
        <v>26</v>
      </c>
      <c r="C40" s="5">
        <v>1</v>
      </c>
      <c r="D40" s="5" t="s">
        <v>99</v>
      </c>
      <c r="E40" s="19">
        <v>10</v>
      </c>
      <c r="F40" s="19" t="s">
        <v>101</v>
      </c>
      <c r="G40" s="19" t="s">
        <v>101</v>
      </c>
      <c r="H40" s="19">
        <f>(IF(E40="-",1,E40)*IF(F40="-",1,F40)*IF(G40="-",1,G40))</f>
        <v>10</v>
      </c>
      <c r="I40" s="5" t="s">
        <v>104</v>
      </c>
      <c r="J40" s="31">
        <v>100</v>
      </c>
      <c r="K40" s="32">
        <f>IF(D40="Yes",H40*J40,0)</f>
        <v>1000</v>
      </c>
      <c r="L40" s="13"/>
    </row>
    <row r="41" spans="1:29" s="1" customFormat="1" ht="33" customHeight="1" x14ac:dyDescent="0.2">
      <c r="A41" s="10" t="s">
        <v>47</v>
      </c>
      <c r="B41" s="6" t="s">
        <v>31</v>
      </c>
      <c r="C41" s="5">
        <v>5</v>
      </c>
      <c r="D41" s="5" t="s">
        <v>99</v>
      </c>
      <c r="E41" s="5"/>
      <c r="F41" s="5"/>
      <c r="G41" s="5"/>
      <c r="H41" s="19"/>
      <c r="I41" s="5"/>
      <c r="J41" s="31"/>
      <c r="K41" s="31"/>
      <c r="L41" s="13"/>
      <c r="AA41" s="1" t="e">
        <f>RIGHT(#REF!,4)</f>
        <v>#REF!</v>
      </c>
      <c r="AB41" s="1" t="e">
        <f>CONCATENATE(AC41,AA41)</f>
        <v>#REF!</v>
      </c>
      <c r="AC41" s="1">
        <v>2</v>
      </c>
    </row>
    <row r="42" spans="1:29" s="1" customFormat="1" x14ac:dyDescent="0.2">
      <c r="A42" s="14" t="s">
        <v>35</v>
      </c>
      <c r="B42" s="6" t="s">
        <v>28</v>
      </c>
      <c r="C42" s="5">
        <f>C41</f>
        <v>5</v>
      </c>
      <c r="D42" s="5" t="str">
        <f>D41</f>
        <v>Yes</v>
      </c>
      <c r="E42" s="5" t="s">
        <v>101</v>
      </c>
      <c r="F42" s="5" t="s">
        <v>101</v>
      </c>
      <c r="G42" s="5">
        <f>2*(0.052146+0.15*0.35)</f>
        <v>0.20929199999999998</v>
      </c>
      <c r="H42" s="19">
        <f>(IF(E42="-",1,E42)*IF(F42="-",1,F42)*IF(G42="-",1,G42))</f>
        <v>0.20929199999999998</v>
      </c>
      <c r="I42" s="5" t="s">
        <v>103</v>
      </c>
      <c r="J42" s="31">
        <v>12</v>
      </c>
      <c r="K42" s="32">
        <f>IF(D42="Yes",H42*J42,0)</f>
        <v>2.5115039999999995</v>
      </c>
      <c r="L42" s="13"/>
      <c r="AA42" s="1" t="e">
        <f>RIGHT(#REF!,4)</f>
        <v>#REF!</v>
      </c>
      <c r="AB42" s="1" t="e">
        <f>CONCATENATE(AC42,AA42)</f>
        <v>#REF!</v>
      </c>
      <c r="AC42" s="1">
        <v>2</v>
      </c>
    </row>
    <row r="43" spans="1:29" s="1" customFormat="1" x14ac:dyDescent="0.2">
      <c r="A43" s="14" t="s">
        <v>36</v>
      </c>
      <c r="B43" s="6" t="s">
        <v>27</v>
      </c>
      <c r="C43" s="5">
        <f>C41</f>
        <v>5</v>
      </c>
      <c r="D43" s="5" t="str">
        <f>D41</f>
        <v>Yes</v>
      </c>
      <c r="E43" s="5">
        <v>0.45</v>
      </c>
      <c r="F43" s="5" t="s">
        <v>101</v>
      </c>
      <c r="G43" s="5">
        <v>5.2145999999999998E-2</v>
      </c>
      <c r="H43" s="19">
        <f>(IF(E43="-",1,E43)*IF(F43="-",1,F43)*IF(G43="-",1,G43))</f>
        <v>2.3465699999999999E-2</v>
      </c>
      <c r="I43" s="5" t="s">
        <v>102</v>
      </c>
      <c r="J43" s="31">
        <v>2650</v>
      </c>
      <c r="K43" s="32">
        <f>IF(D43="Yes",H43*J43,0)</f>
        <v>62.184104999999995</v>
      </c>
      <c r="L43" s="13"/>
      <c r="AA43" s="1" t="e">
        <f>RIGHT(#REF!,4)</f>
        <v>#REF!</v>
      </c>
      <c r="AB43" s="1" t="e">
        <f>CONCATENATE(AC43,AA43)</f>
        <v>#REF!</v>
      </c>
      <c r="AC43" s="1">
        <v>2</v>
      </c>
    </row>
    <row r="44" spans="1:29" s="1" customFormat="1" ht="30" x14ac:dyDescent="0.2">
      <c r="A44" s="10" t="s">
        <v>48</v>
      </c>
      <c r="B44" s="6" t="s">
        <v>30</v>
      </c>
      <c r="C44" s="5">
        <v>1</v>
      </c>
      <c r="D44" s="5" t="s">
        <v>100</v>
      </c>
      <c r="E44" s="5"/>
      <c r="F44" s="5"/>
      <c r="G44" s="5"/>
      <c r="H44" s="19"/>
      <c r="I44" s="5"/>
      <c r="J44" s="31"/>
      <c r="K44" s="32"/>
      <c r="L44" s="13"/>
    </row>
    <row r="45" spans="1:29" s="1" customFormat="1" x14ac:dyDescent="0.2">
      <c r="A45" s="14" t="s">
        <v>35</v>
      </c>
      <c r="B45" s="6" t="s">
        <v>28</v>
      </c>
      <c r="C45" s="5">
        <f>C44</f>
        <v>1</v>
      </c>
      <c r="D45" s="5" t="str">
        <f>D44</f>
        <v>No</v>
      </c>
      <c r="E45" s="5">
        <v>10</v>
      </c>
      <c r="F45" s="5">
        <f>0.15*2</f>
        <v>0.3</v>
      </c>
      <c r="G45" s="5" t="s">
        <v>101</v>
      </c>
      <c r="H45" s="19">
        <f>(IF(E45="-",1,E45)*IF(F45="-",1,F45)*IF(G45="-",1,G45))</f>
        <v>3</v>
      </c>
      <c r="I45" s="5" t="s">
        <v>103</v>
      </c>
      <c r="J45" s="31">
        <v>12</v>
      </c>
      <c r="K45" s="32">
        <f>IF(D45="Yes",H45*J45,0)</f>
        <v>0</v>
      </c>
      <c r="L45" s="13"/>
      <c r="AA45" s="1" t="e">
        <f>RIGHT(#REF!,4)</f>
        <v>#REF!</v>
      </c>
      <c r="AB45" s="1" t="e">
        <f t="shared" ref="AB45:AB52" si="3">CONCATENATE(AC45,AA45)</f>
        <v>#REF!</v>
      </c>
      <c r="AC45" s="1">
        <v>2</v>
      </c>
    </row>
    <row r="46" spans="1:29" s="1" customFormat="1" x14ac:dyDescent="0.2">
      <c r="A46" s="14" t="s">
        <v>36</v>
      </c>
      <c r="B46" s="6" t="s">
        <v>27</v>
      </c>
      <c r="C46" s="5">
        <f>C44</f>
        <v>1</v>
      </c>
      <c r="D46" s="5" t="str">
        <f>D44</f>
        <v>No</v>
      </c>
      <c r="E46" s="5">
        <v>10</v>
      </c>
      <c r="F46" s="5" t="s">
        <v>101</v>
      </c>
      <c r="G46" s="5">
        <v>5.2145999999999998E-2</v>
      </c>
      <c r="H46" s="19">
        <f>(IF(E46="-",1,E46)*IF(F46="-",1,F46)*IF(G46="-",1,G46))</f>
        <v>0.52146000000000003</v>
      </c>
      <c r="I46" s="5" t="s">
        <v>102</v>
      </c>
      <c r="J46" s="31">
        <v>2250</v>
      </c>
      <c r="K46" s="32">
        <f>IF(D46="Yes",H46*J46,0)</f>
        <v>0</v>
      </c>
      <c r="L46" s="13"/>
      <c r="AA46" s="1" t="e">
        <f>RIGHT(#REF!,4)</f>
        <v>#REF!</v>
      </c>
      <c r="AB46" s="1" t="e">
        <f t="shared" si="3"/>
        <v>#REF!</v>
      </c>
      <c r="AC46" s="1">
        <v>2</v>
      </c>
    </row>
    <row r="47" spans="1:29" s="1" customFormat="1" ht="30" x14ac:dyDescent="0.2">
      <c r="A47" s="10" t="s">
        <v>49</v>
      </c>
      <c r="B47" s="6" t="s">
        <v>29</v>
      </c>
      <c r="C47" s="5">
        <v>1</v>
      </c>
      <c r="D47" s="5" t="s">
        <v>100</v>
      </c>
      <c r="E47" s="5"/>
      <c r="F47" s="5"/>
      <c r="G47" s="5"/>
      <c r="H47" s="19"/>
      <c r="I47" s="5"/>
      <c r="J47" s="31"/>
      <c r="K47" s="31"/>
      <c r="L47" s="13"/>
      <c r="AA47" s="1" t="e">
        <f>RIGHT(#REF!,5)</f>
        <v>#REF!</v>
      </c>
      <c r="AB47" s="1" t="e">
        <f t="shared" si="3"/>
        <v>#REF!</v>
      </c>
      <c r="AC47" s="1">
        <v>2</v>
      </c>
    </row>
    <row r="48" spans="1:29" s="1" customFormat="1" x14ac:dyDescent="0.2">
      <c r="A48" s="14" t="s">
        <v>35</v>
      </c>
      <c r="B48" s="6" t="s">
        <v>28</v>
      </c>
      <c r="C48" s="5">
        <f>C47</f>
        <v>1</v>
      </c>
      <c r="D48" s="5" t="str">
        <f>D47</f>
        <v>No</v>
      </c>
      <c r="E48" s="5">
        <v>10</v>
      </c>
      <c r="F48" s="5">
        <f>0.15*2</f>
        <v>0.3</v>
      </c>
      <c r="G48" s="5" t="s">
        <v>101</v>
      </c>
      <c r="H48" s="19">
        <f>(IF(E48="-",1,E48)*IF(F48="-",1,F48)*IF(G48="-",1,G48))</f>
        <v>3</v>
      </c>
      <c r="I48" s="5" t="s">
        <v>103</v>
      </c>
      <c r="J48" s="31">
        <v>12</v>
      </c>
      <c r="K48" s="32">
        <f>IF(D48="Yes",H48*J48,0)</f>
        <v>0</v>
      </c>
      <c r="L48" s="13"/>
      <c r="AA48" s="1" t="e">
        <f>RIGHT(#REF!,4)</f>
        <v>#REF!</v>
      </c>
      <c r="AB48" s="1" t="e">
        <f t="shared" si="3"/>
        <v>#REF!</v>
      </c>
      <c r="AC48" s="1">
        <v>2</v>
      </c>
    </row>
    <row r="49" spans="1:29" s="1" customFormat="1" x14ac:dyDescent="0.2">
      <c r="A49" s="14" t="s">
        <v>36</v>
      </c>
      <c r="B49" s="6" t="s">
        <v>27</v>
      </c>
      <c r="C49" s="22">
        <f>C47</f>
        <v>1</v>
      </c>
      <c r="D49" s="22" t="str">
        <f>D47</f>
        <v>No</v>
      </c>
      <c r="E49" s="22">
        <v>10</v>
      </c>
      <c r="F49" s="22" t="s">
        <v>101</v>
      </c>
      <c r="G49" s="22">
        <f>2*0.004829</f>
        <v>9.6579999999999999E-3</v>
      </c>
      <c r="H49" s="23">
        <f>(IF(E49="-",1,E49)*IF(F49="-",1,F49)*IF(G49="-",1,G49))</f>
        <v>9.6579999999999999E-2</v>
      </c>
      <c r="I49" s="22" t="s">
        <v>102</v>
      </c>
      <c r="J49" s="31">
        <v>2450</v>
      </c>
      <c r="K49" s="32">
        <f>IF(D49="Yes",H49*J49,0)</f>
        <v>0</v>
      </c>
      <c r="L49" s="13"/>
      <c r="AA49" s="1" t="e">
        <f>RIGHT(#REF!,4)</f>
        <v>#REF!</v>
      </c>
      <c r="AB49" s="1" t="e">
        <f t="shared" si="3"/>
        <v>#REF!</v>
      </c>
      <c r="AC49" s="1">
        <v>2</v>
      </c>
    </row>
    <row r="50" spans="1:29" s="1" customFormat="1" ht="15.75" thickBot="1" x14ac:dyDescent="0.25">
      <c r="A50" s="34"/>
      <c r="B50" s="35"/>
      <c r="C50" s="36"/>
      <c r="D50" s="36"/>
      <c r="E50" s="36"/>
      <c r="F50" s="36"/>
      <c r="G50" s="36"/>
      <c r="H50" s="37"/>
      <c r="I50" s="38"/>
      <c r="J50" s="39" t="s">
        <v>116</v>
      </c>
      <c r="K50" s="40">
        <f>SUM(K36:K49)</f>
        <v>3104.6956089999999</v>
      </c>
      <c r="L50" s="41" t="str">
        <f>TEXT(K50/10,"0.0 ₹")&amp;" Per Mtr"</f>
        <v>310.5 ₹ Per Mtr</v>
      </c>
      <c r="AA50" s="1" t="e">
        <f>RIGHT(#REF!,5)</f>
        <v>#REF!</v>
      </c>
      <c r="AB50" s="1" t="e">
        <f t="shared" si="3"/>
        <v>#REF!</v>
      </c>
      <c r="AC50" s="1">
        <v>2</v>
      </c>
    </row>
    <row r="51" spans="1:29" x14ac:dyDescent="0.2">
      <c r="A51" s="12" t="s">
        <v>21</v>
      </c>
      <c r="B51" s="8" t="s">
        <v>14</v>
      </c>
      <c r="C51" s="25"/>
      <c r="D51" s="26"/>
      <c r="E51" s="26"/>
      <c r="F51" s="26"/>
      <c r="G51" s="26"/>
      <c r="H51" s="26"/>
      <c r="I51" s="26"/>
      <c r="J51" s="26"/>
      <c r="K51" s="26"/>
      <c r="L51" s="27"/>
      <c r="AA51" s="1" t="e">
        <f>RIGHT(#REF!,4)</f>
        <v>#REF!</v>
      </c>
      <c r="AB51" s="1" t="e">
        <f t="shared" si="3"/>
        <v>#REF!</v>
      </c>
      <c r="AC51" s="1">
        <v>2</v>
      </c>
    </row>
    <row r="52" spans="1:29" s="1" customFormat="1" x14ac:dyDescent="0.2">
      <c r="A52" s="10" t="s">
        <v>50</v>
      </c>
      <c r="B52" s="6" t="s">
        <v>23</v>
      </c>
      <c r="C52" s="7">
        <v>1</v>
      </c>
      <c r="D52" s="5" t="s">
        <v>99</v>
      </c>
      <c r="E52" s="19">
        <v>10</v>
      </c>
      <c r="F52" s="19" t="s">
        <v>101</v>
      </c>
      <c r="G52" s="19">
        <v>1</v>
      </c>
      <c r="H52" s="19">
        <f>(IF(E52="-",1,E52)*IF(F52="-",1,F52)*IF(G52="-",1,G52))</f>
        <v>10</v>
      </c>
      <c r="I52" s="7" t="s">
        <v>102</v>
      </c>
      <c r="J52" s="32">
        <v>80</v>
      </c>
      <c r="K52" s="32">
        <f>IF(D52="Yes",H52*J52,0)</f>
        <v>800</v>
      </c>
      <c r="L52" s="13"/>
      <c r="AA52" s="1" t="e">
        <f>RIGHT(#REF!,4)</f>
        <v>#REF!</v>
      </c>
      <c r="AB52" s="1" t="e">
        <f t="shared" si="3"/>
        <v>#REF!</v>
      </c>
      <c r="AC52" s="1">
        <v>2</v>
      </c>
    </row>
    <row r="53" spans="1:29" s="1" customFormat="1" x14ac:dyDescent="0.2">
      <c r="A53" s="10" t="s">
        <v>51</v>
      </c>
      <c r="B53" s="6" t="s">
        <v>24</v>
      </c>
      <c r="C53" s="5">
        <v>1</v>
      </c>
      <c r="D53" s="5" t="s">
        <v>99</v>
      </c>
      <c r="E53" s="19">
        <v>10</v>
      </c>
      <c r="F53" s="19" t="s">
        <v>101</v>
      </c>
      <c r="G53" s="19" t="s">
        <v>101</v>
      </c>
      <c r="H53" s="19">
        <f>(IF(E53="-",1,E53)*IF(F53="-",1,F53)*IF(G53="-",1,G53))</f>
        <v>10</v>
      </c>
      <c r="I53" s="5" t="s">
        <v>103</v>
      </c>
      <c r="J53" s="31">
        <v>22</v>
      </c>
      <c r="K53" s="32">
        <f>IF(D53="Yes",H53*J53,0)</f>
        <v>220</v>
      </c>
      <c r="L53" s="13"/>
    </row>
    <row r="54" spans="1:29" s="1" customFormat="1" x14ac:dyDescent="0.2">
      <c r="A54" s="10" t="s">
        <v>112</v>
      </c>
      <c r="B54" s="6" t="s">
        <v>107</v>
      </c>
      <c r="C54" s="5">
        <v>1</v>
      </c>
      <c r="D54" s="5" t="s">
        <v>99</v>
      </c>
      <c r="E54" s="19">
        <v>10</v>
      </c>
      <c r="F54" s="19" t="s">
        <v>101</v>
      </c>
      <c r="G54" s="19" t="s">
        <v>101</v>
      </c>
      <c r="H54" s="19">
        <f>(IF(E54="-",1,E54)*IF(F54="-",1,F54)*IF(G54="-",1,G54))</f>
        <v>10</v>
      </c>
      <c r="I54" s="5" t="s">
        <v>102</v>
      </c>
      <c r="J54" s="31">
        <v>12</v>
      </c>
      <c r="K54" s="32">
        <f>IF(D54="Yes",H54*J54,0)</f>
        <v>120</v>
      </c>
      <c r="L54" s="13"/>
      <c r="AA54" s="1" t="e">
        <f>RIGHT(#REF!,4)</f>
        <v>#REF!</v>
      </c>
      <c r="AB54" s="1" t="e">
        <f>CONCATENATE(AC54,AA54)</f>
        <v>#REF!</v>
      </c>
      <c r="AC54" s="1">
        <v>2</v>
      </c>
    </row>
    <row r="55" spans="1:29" s="1" customFormat="1" x14ac:dyDescent="0.2">
      <c r="A55" s="10" t="s">
        <v>113</v>
      </c>
      <c r="B55" s="6" t="s">
        <v>25</v>
      </c>
      <c r="C55" s="5">
        <v>1</v>
      </c>
      <c r="D55" s="5" t="s">
        <v>99</v>
      </c>
      <c r="E55" s="19">
        <v>10</v>
      </c>
      <c r="F55" s="19">
        <v>0.45</v>
      </c>
      <c r="G55" s="19">
        <v>0.1</v>
      </c>
      <c r="H55" s="19">
        <f>(IF(E55="-",1,E55)*IF(F55="-",1,F55)*IF(G55="-",1,G55))</f>
        <v>0.45</v>
      </c>
      <c r="I55" s="5" t="s">
        <v>102</v>
      </c>
      <c r="J55" s="31">
        <v>2250</v>
      </c>
      <c r="K55" s="32">
        <f>IF(D55="Yes",H55*J55,0)</f>
        <v>1012.5</v>
      </c>
      <c r="L55" s="13"/>
      <c r="AA55" s="1" t="e">
        <f>RIGHT(#REF!,4)</f>
        <v>#REF!</v>
      </c>
      <c r="AB55" s="1" t="e">
        <f>CONCATENATE(AC55,AA55)</f>
        <v>#REF!</v>
      </c>
      <c r="AC55" s="1">
        <v>2</v>
      </c>
    </row>
    <row r="56" spans="1:29" s="1" customFormat="1" x14ac:dyDescent="0.2">
      <c r="A56" s="10" t="s">
        <v>52</v>
      </c>
      <c r="B56" s="6" t="s">
        <v>26</v>
      </c>
      <c r="C56" s="5">
        <v>1</v>
      </c>
      <c r="D56" s="5" t="s">
        <v>99</v>
      </c>
      <c r="E56" s="19">
        <v>10</v>
      </c>
      <c r="F56" s="19" t="s">
        <v>101</v>
      </c>
      <c r="G56" s="19" t="s">
        <v>101</v>
      </c>
      <c r="H56" s="19">
        <f>(IF(E56="-",1,E56)*IF(F56="-",1,F56)*IF(G56="-",1,G56))</f>
        <v>10</v>
      </c>
      <c r="I56" s="5" t="s">
        <v>104</v>
      </c>
      <c r="J56" s="31">
        <v>100</v>
      </c>
      <c r="K56" s="32">
        <f>IF(D56="Yes",H56*J56,0)</f>
        <v>1000</v>
      </c>
      <c r="L56" s="13"/>
      <c r="AA56" s="1" t="e">
        <f>RIGHT(#REF!,4)</f>
        <v>#REF!</v>
      </c>
      <c r="AB56" s="1" t="e">
        <f>CONCATENATE(AC56,AA56)</f>
        <v>#REF!</v>
      </c>
      <c r="AC56" s="1">
        <v>2</v>
      </c>
    </row>
    <row r="57" spans="1:29" s="1" customFormat="1" ht="33" customHeight="1" x14ac:dyDescent="0.2">
      <c r="A57" s="10" t="s">
        <v>53</v>
      </c>
      <c r="B57" s="6" t="s">
        <v>31</v>
      </c>
      <c r="C57" s="5">
        <v>5</v>
      </c>
      <c r="D57" s="5" t="s">
        <v>99</v>
      </c>
      <c r="E57" s="5"/>
      <c r="F57" s="5"/>
      <c r="G57" s="5"/>
      <c r="H57" s="19"/>
      <c r="I57" s="5"/>
      <c r="J57" s="31"/>
      <c r="K57" s="31"/>
      <c r="L57" s="13"/>
    </row>
    <row r="58" spans="1:29" s="1" customFormat="1" x14ac:dyDescent="0.2">
      <c r="A58" s="14" t="s">
        <v>35</v>
      </c>
      <c r="B58" s="6" t="s">
        <v>28</v>
      </c>
      <c r="C58" s="5">
        <f>C57</f>
        <v>5</v>
      </c>
      <c r="D58" s="5" t="str">
        <f>D57</f>
        <v>Yes</v>
      </c>
      <c r="E58" s="5" t="s">
        <v>101</v>
      </c>
      <c r="F58" s="5" t="s">
        <v>101</v>
      </c>
      <c r="G58" s="5">
        <f>2*(0.064108+0.18*0.35)</f>
        <v>0.254216</v>
      </c>
      <c r="H58" s="19">
        <f>(IF(E58="-",1,E58)*IF(F58="-",1,F58)*IF(G58="-",1,G58))</f>
        <v>0.254216</v>
      </c>
      <c r="I58" s="5" t="s">
        <v>103</v>
      </c>
      <c r="J58" s="31">
        <v>12</v>
      </c>
      <c r="K58" s="32">
        <f>IF(D58="Yes",H58*J58,0)</f>
        <v>3.050592</v>
      </c>
      <c r="L58" s="13"/>
      <c r="AA58" s="1" t="e">
        <f>RIGHT(#REF!,4)</f>
        <v>#REF!</v>
      </c>
      <c r="AB58" s="1" t="e">
        <f t="shared" ref="AB58:AB65" si="4">CONCATENATE(AC58,AA58)</f>
        <v>#REF!</v>
      </c>
      <c r="AC58" s="1">
        <v>2</v>
      </c>
    </row>
    <row r="59" spans="1:29" s="1" customFormat="1" x14ac:dyDescent="0.2">
      <c r="A59" s="14" t="s">
        <v>36</v>
      </c>
      <c r="B59" s="6" t="s">
        <v>27</v>
      </c>
      <c r="C59" s="5">
        <f>C57</f>
        <v>5</v>
      </c>
      <c r="D59" s="5" t="str">
        <f>D57</f>
        <v>Yes</v>
      </c>
      <c r="E59" s="5">
        <v>0.5</v>
      </c>
      <c r="F59" s="5" t="s">
        <v>101</v>
      </c>
      <c r="G59" s="5">
        <v>6.4107999999999998E-2</v>
      </c>
      <c r="H59" s="19">
        <f>(IF(E59="-",1,E59)*IF(F59="-",1,F59)*IF(G59="-",1,G59))</f>
        <v>3.2053999999999999E-2</v>
      </c>
      <c r="I59" s="5" t="s">
        <v>102</v>
      </c>
      <c r="J59" s="31">
        <v>2650</v>
      </c>
      <c r="K59" s="32">
        <f>IF(D59="Yes",H59*J59,0)</f>
        <v>84.943100000000001</v>
      </c>
      <c r="L59" s="13"/>
      <c r="AA59" s="1" t="e">
        <f>RIGHT(#REF!,4)</f>
        <v>#REF!</v>
      </c>
      <c r="AB59" s="1" t="e">
        <f t="shared" si="4"/>
        <v>#REF!</v>
      </c>
      <c r="AC59" s="1">
        <v>2</v>
      </c>
    </row>
    <row r="60" spans="1:29" s="1" customFormat="1" ht="30" x14ac:dyDescent="0.2">
      <c r="A60" s="10" t="s">
        <v>54</v>
      </c>
      <c r="B60" s="6" t="s">
        <v>30</v>
      </c>
      <c r="C60" s="5">
        <v>1</v>
      </c>
      <c r="D60" s="5" t="s">
        <v>100</v>
      </c>
      <c r="E60" s="5"/>
      <c r="F60" s="5"/>
      <c r="G60" s="5"/>
      <c r="H60" s="19"/>
      <c r="I60" s="5"/>
      <c r="J60" s="31"/>
      <c r="K60" s="32"/>
      <c r="L60" s="13"/>
      <c r="AA60" s="1" t="e">
        <f>RIGHT(#REF!,5)</f>
        <v>#REF!</v>
      </c>
      <c r="AB60" s="1" t="e">
        <f t="shared" si="4"/>
        <v>#REF!</v>
      </c>
      <c r="AC60" s="1">
        <v>2</v>
      </c>
    </row>
    <row r="61" spans="1:29" s="1" customFormat="1" x14ac:dyDescent="0.2">
      <c r="A61" s="14" t="s">
        <v>35</v>
      </c>
      <c r="B61" s="6" t="s">
        <v>28</v>
      </c>
      <c r="C61" s="5">
        <f>C60</f>
        <v>1</v>
      </c>
      <c r="D61" s="5" t="str">
        <f>D60</f>
        <v>No</v>
      </c>
      <c r="E61" s="5">
        <v>10</v>
      </c>
      <c r="F61" s="5">
        <f>0.18*2</f>
        <v>0.36</v>
      </c>
      <c r="G61" s="5" t="s">
        <v>101</v>
      </c>
      <c r="H61" s="19">
        <f>(IF(E61="-",1,E61)*IF(F61="-",1,F61)*IF(G61="-",1,G61))</f>
        <v>3.5999999999999996</v>
      </c>
      <c r="I61" s="5" t="s">
        <v>103</v>
      </c>
      <c r="J61" s="31">
        <v>12</v>
      </c>
      <c r="K61" s="32">
        <f>IF(D61="Yes",H61*J61,0)</f>
        <v>0</v>
      </c>
      <c r="L61" s="13"/>
      <c r="AA61" s="1" t="e">
        <f>RIGHT(#REF!,4)</f>
        <v>#REF!</v>
      </c>
      <c r="AB61" s="1" t="e">
        <f t="shared" si="4"/>
        <v>#REF!</v>
      </c>
      <c r="AC61" s="1">
        <v>2</v>
      </c>
    </row>
    <row r="62" spans="1:29" s="1" customFormat="1" x14ac:dyDescent="0.2">
      <c r="A62" s="14" t="s">
        <v>36</v>
      </c>
      <c r="B62" s="6" t="s">
        <v>27</v>
      </c>
      <c r="C62" s="5">
        <f>C60</f>
        <v>1</v>
      </c>
      <c r="D62" s="5" t="str">
        <f>D60</f>
        <v>No</v>
      </c>
      <c r="E62" s="5">
        <v>10</v>
      </c>
      <c r="F62" s="5" t="s">
        <v>101</v>
      </c>
      <c r="G62" s="5">
        <v>6.4107999999999998E-2</v>
      </c>
      <c r="H62" s="19">
        <f>(IF(E62="-",1,E62)*IF(F62="-",1,F62)*IF(G62="-",1,G62))</f>
        <v>0.64107999999999998</v>
      </c>
      <c r="I62" s="5" t="s">
        <v>102</v>
      </c>
      <c r="J62" s="31">
        <v>2250</v>
      </c>
      <c r="K62" s="32">
        <f>IF(D62="Yes",H62*J62,0)</f>
        <v>0</v>
      </c>
      <c r="L62" s="13"/>
      <c r="AA62" s="1" t="e">
        <f>RIGHT(#REF!,4)</f>
        <v>#REF!</v>
      </c>
      <c r="AB62" s="1" t="e">
        <f t="shared" si="4"/>
        <v>#REF!</v>
      </c>
      <c r="AC62" s="1">
        <v>2</v>
      </c>
    </row>
    <row r="63" spans="1:29" s="1" customFormat="1" ht="30" x14ac:dyDescent="0.2">
      <c r="A63" s="10" t="s">
        <v>55</v>
      </c>
      <c r="B63" s="6" t="s">
        <v>29</v>
      </c>
      <c r="C63" s="5">
        <v>1</v>
      </c>
      <c r="D63" s="5" t="s">
        <v>100</v>
      </c>
      <c r="E63" s="5"/>
      <c r="F63" s="5"/>
      <c r="G63" s="5"/>
      <c r="H63" s="19"/>
      <c r="I63" s="5"/>
      <c r="J63" s="31"/>
      <c r="K63" s="31"/>
      <c r="L63" s="13"/>
      <c r="AA63" s="1" t="e">
        <f>RIGHT(#REF!,5)</f>
        <v>#REF!</v>
      </c>
      <c r="AB63" s="1" t="e">
        <f t="shared" si="4"/>
        <v>#REF!</v>
      </c>
      <c r="AC63" s="1">
        <v>2</v>
      </c>
    </row>
    <row r="64" spans="1:29" s="1" customFormat="1" x14ac:dyDescent="0.2">
      <c r="A64" s="14" t="s">
        <v>35</v>
      </c>
      <c r="B64" s="6" t="s">
        <v>28</v>
      </c>
      <c r="C64" s="5">
        <f>C63</f>
        <v>1</v>
      </c>
      <c r="D64" s="5" t="str">
        <f>D63</f>
        <v>No</v>
      </c>
      <c r="E64" s="5">
        <v>10</v>
      </c>
      <c r="F64" s="5">
        <f>0.18*2</f>
        <v>0.36</v>
      </c>
      <c r="G64" s="5" t="s">
        <v>101</v>
      </c>
      <c r="H64" s="19">
        <f>(IF(E64="-",1,E64)*IF(F64="-",1,F64)*IF(G64="-",1,G64))</f>
        <v>3.5999999999999996</v>
      </c>
      <c r="I64" s="5" t="s">
        <v>103</v>
      </c>
      <c r="J64" s="31">
        <v>12</v>
      </c>
      <c r="K64" s="32">
        <f>IF(D64="Yes",H64*J64,0)</f>
        <v>0</v>
      </c>
      <c r="L64" s="13"/>
      <c r="AA64" s="1" t="e">
        <f>RIGHT(#REF!,4)</f>
        <v>#REF!</v>
      </c>
      <c r="AB64" s="1" t="e">
        <f t="shared" si="4"/>
        <v>#REF!</v>
      </c>
      <c r="AC64" s="1">
        <v>2</v>
      </c>
    </row>
    <row r="65" spans="1:29" s="1" customFormat="1" x14ac:dyDescent="0.2">
      <c r="A65" s="14" t="s">
        <v>36</v>
      </c>
      <c r="B65" s="6" t="s">
        <v>27</v>
      </c>
      <c r="C65" s="22">
        <f>C63</f>
        <v>1</v>
      </c>
      <c r="D65" s="22" t="str">
        <f>D63</f>
        <v>No</v>
      </c>
      <c r="E65" s="22">
        <v>10</v>
      </c>
      <c r="F65" s="22" t="s">
        <v>101</v>
      </c>
      <c r="G65" s="22">
        <f>2*0.006953</f>
        <v>1.3906E-2</v>
      </c>
      <c r="H65" s="23">
        <f>(IF(E65="-",1,E65)*IF(F65="-",1,F65)*IF(G65="-",1,G65))</f>
        <v>0.13905999999999999</v>
      </c>
      <c r="I65" s="22" t="s">
        <v>102</v>
      </c>
      <c r="J65" s="31">
        <v>2450</v>
      </c>
      <c r="K65" s="32">
        <f>IF(D65="Yes",H65*J65,0)</f>
        <v>0</v>
      </c>
      <c r="L65" s="13"/>
      <c r="AA65" s="1" t="e">
        <f>RIGHT(#REF!,4)</f>
        <v>#REF!</v>
      </c>
      <c r="AB65" s="1" t="e">
        <f t="shared" si="4"/>
        <v>#REF!</v>
      </c>
      <c r="AC65" s="1">
        <v>2</v>
      </c>
    </row>
    <row r="66" spans="1:29" s="1" customFormat="1" ht="15.75" thickBot="1" x14ac:dyDescent="0.25">
      <c r="A66" s="34"/>
      <c r="B66" s="35"/>
      <c r="C66" s="36"/>
      <c r="D66" s="36"/>
      <c r="E66" s="36"/>
      <c r="F66" s="36"/>
      <c r="G66" s="36"/>
      <c r="H66" s="37"/>
      <c r="I66" s="38"/>
      <c r="J66" s="39" t="s">
        <v>116</v>
      </c>
      <c r="K66" s="40">
        <f>SUM(K52:K65)</f>
        <v>3240.493692</v>
      </c>
      <c r="L66" s="41" t="str">
        <f>TEXT(K66/10,"0.0 ₹")&amp;" Per Mtr"</f>
        <v>324.0 ₹ Per Mtr</v>
      </c>
    </row>
    <row r="67" spans="1:29" x14ac:dyDescent="0.2">
      <c r="A67" s="12" t="s">
        <v>22</v>
      </c>
      <c r="B67" s="8" t="s">
        <v>15</v>
      </c>
      <c r="C67" s="25"/>
      <c r="D67" s="26"/>
      <c r="E67" s="26"/>
      <c r="F67" s="26"/>
      <c r="G67" s="26"/>
      <c r="H67" s="26"/>
      <c r="I67" s="26"/>
      <c r="J67" s="26"/>
      <c r="K67" s="26"/>
      <c r="L67" s="27"/>
    </row>
    <row r="68" spans="1:29" s="1" customFormat="1" x14ac:dyDescent="0.2">
      <c r="A68" s="10" t="s">
        <v>56</v>
      </c>
      <c r="B68" s="6" t="s">
        <v>23</v>
      </c>
      <c r="C68" s="7">
        <v>1</v>
      </c>
      <c r="D68" s="5" t="s">
        <v>99</v>
      </c>
      <c r="E68" s="19">
        <v>10</v>
      </c>
      <c r="F68" s="19" t="s">
        <v>101</v>
      </c>
      <c r="G68" s="19">
        <v>1</v>
      </c>
      <c r="H68" s="19">
        <f>(IF(E68="-",1,E68)*IF(F68="-",1,F68)*IF(G68="-",1,G68))</f>
        <v>10</v>
      </c>
      <c r="I68" s="7" t="s">
        <v>102</v>
      </c>
      <c r="J68" s="32">
        <v>80</v>
      </c>
      <c r="K68" s="32">
        <f>IF(D68="Yes",H68*J68,0)</f>
        <v>800</v>
      </c>
      <c r="L68" s="13"/>
    </row>
    <row r="69" spans="1:29" s="1" customFormat="1" x14ac:dyDescent="0.2">
      <c r="A69" s="10" t="s">
        <v>57</v>
      </c>
      <c r="B69" s="6" t="s">
        <v>24</v>
      </c>
      <c r="C69" s="5">
        <v>1</v>
      </c>
      <c r="D69" s="5" t="s">
        <v>99</v>
      </c>
      <c r="E69" s="19">
        <v>10</v>
      </c>
      <c r="F69" s="19" t="s">
        <v>101</v>
      </c>
      <c r="G69" s="19" t="s">
        <v>101</v>
      </c>
      <c r="H69" s="19">
        <f>(IF(E69="-",1,E69)*IF(F69="-",1,F69)*IF(G69="-",1,G69))</f>
        <v>10</v>
      </c>
      <c r="I69" s="5" t="s">
        <v>103</v>
      </c>
      <c r="J69" s="31">
        <v>22</v>
      </c>
      <c r="K69" s="32">
        <f>IF(D69="Yes",H69*J69,0)</f>
        <v>220</v>
      </c>
      <c r="L69" s="13"/>
    </row>
    <row r="70" spans="1:29" s="1" customFormat="1" x14ac:dyDescent="0.2">
      <c r="A70" s="10" t="s">
        <v>114</v>
      </c>
      <c r="B70" s="6" t="s">
        <v>107</v>
      </c>
      <c r="C70" s="5">
        <v>1</v>
      </c>
      <c r="D70" s="5" t="s">
        <v>99</v>
      </c>
      <c r="E70" s="19">
        <v>10</v>
      </c>
      <c r="F70" s="19" t="s">
        <v>101</v>
      </c>
      <c r="G70" s="19" t="s">
        <v>101</v>
      </c>
      <c r="H70" s="19">
        <f>(IF(E70="-",1,E70)*IF(F70="-",1,F70)*IF(G70="-",1,G70))</f>
        <v>10</v>
      </c>
      <c r="I70" s="5" t="s">
        <v>102</v>
      </c>
      <c r="J70" s="31">
        <v>12</v>
      </c>
      <c r="K70" s="32">
        <f>IF(D70="Yes",H70*J70,0)</f>
        <v>120</v>
      </c>
      <c r="L70" s="13"/>
    </row>
    <row r="71" spans="1:29" s="1" customFormat="1" x14ac:dyDescent="0.2">
      <c r="A71" s="10" t="s">
        <v>115</v>
      </c>
      <c r="B71" s="6" t="s">
        <v>25</v>
      </c>
      <c r="C71" s="5">
        <v>1</v>
      </c>
      <c r="D71" s="5" t="s">
        <v>99</v>
      </c>
      <c r="E71" s="19">
        <v>10</v>
      </c>
      <c r="F71" s="19">
        <v>0.55000000000000004</v>
      </c>
      <c r="G71" s="19">
        <v>0.1</v>
      </c>
      <c r="H71" s="19">
        <f>(IF(E71="-",1,E71)*IF(F71="-",1,F71)*IF(G71="-",1,G71))</f>
        <v>0.55000000000000004</v>
      </c>
      <c r="I71" s="5" t="s">
        <v>102</v>
      </c>
      <c r="J71" s="31">
        <v>2250</v>
      </c>
      <c r="K71" s="32">
        <f>IF(D71="Yes",H71*J71,0)</f>
        <v>1237.5</v>
      </c>
      <c r="L71" s="13"/>
    </row>
    <row r="72" spans="1:29" s="1" customFormat="1" x14ac:dyDescent="0.2">
      <c r="A72" s="10" t="s">
        <v>58</v>
      </c>
      <c r="B72" s="6" t="s">
        <v>26</v>
      </c>
      <c r="C72" s="5">
        <v>1</v>
      </c>
      <c r="D72" s="5" t="s">
        <v>99</v>
      </c>
      <c r="E72" s="19">
        <v>10</v>
      </c>
      <c r="F72" s="19" t="s">
        <v>101</v>
      </c>
      <c r="G72" s="19" t="s">
        <v>101</v>
      </c>
      <c r="H72" s="19">
        <f>(IF(E72="-",1,E72)*IF(F72="-",1,F72)*IF(G72="-",1,G72))</f>
        <v>10</v>
      </c>
      <c r="I72" s="5" t="s">
        <v>104</v>
      </c>
      <c r="J72" s="31">
        <v>100</v>
      </c>
      <c r="K72" s="32">
        <f>IF(D72="Yes",H72*J72,0)</f>
        <v>1000</v>
      </c>
      <c r="L72" s="13"/>
    </row>
    <row r="73" spans="1:29" s="1" customFormat="1" ht="33" customHeight="1" x14ac:dyDescent="0.2">
      <c r="A73" s="10" t="s">
        <v>59</v>
      </c>
      <c r="B73" s="6" t="s">
        <v>31</v>
      </c>
      <c r="C73" s="5">
        <v>5</v>
      </c>
      <c r="D73" s="5" t="s">
        <v>99</v>
      </c>
      <c r="E73" s="5"/>
      <c r="F73" s="5"/>
      <c r="G73" s="5"/>
      <c r="H73" s="19"/>
      <c r="I73" s="5"/>
      <c r="J73" s="31"/>
      <c r="K73" s="31"/>
      <c r="L73" s="13"/>
    </row>
    <row r="74" spans="1:29" s="1" customFormat="1" x14ac:dyDescent="0.2">
      <c r="A74" s="14" t="s">
        <v>35</v>
      </c>
      <c r="B74" s="6" t="s">
        <v>28</v>
      </c>
      <c r="C74" s="5">
        <f>C73</f>
        <v>5</v>
      </c>
      <c r="D74" s="5" t="str">
        <f>D73</f>
        <v>Yes</v>
      </c>
      <c r="E74" s="5" t="s">
        <v>101</v>
      </c>
      <c r="F74" s="5" t="s">
        <v>101</v>
      </c>
      <c r="G74" s="5">
        <f>2*(0.086671+0.232*0.35)</f>
        <v>0.33574199999999998</v>
      </c>
      <c r="H74" s="19">
        <f>(IF(E74="-",1,E74)*IF(F74="-",1,F74)*IF(G74="-",1,G74))</f>
        <v>0.33574199999999998</v>
      </c>
      <c r="I74" s="5" t="s">
        <v>103</v>
      </c>
      <c r="J74" s="31">
        <v>12</v>
      </c>
      <c r="K74" s="32">
        <f>IF(D74="Yes",H74*J74,0)</f>
        <v>4.0289039999999998</v>
      </c>
      <c r="L74" s="13"/>
    </row>
    <row r="75" spans="1:29" s="1" customFormat="1" x14ac:dyDescent="0.2">
      <c r="A75" s="14" t="s">
        <v>36</v>
      </c>
      <c r="B75" s="6" t="s">
        <v>27</v>
      </c>
      <c r="C75" s="5">
        <f>C73</f>
        <v>5</v>
      </c>
      <c r="D75" s="5" t="str">
        <f>D73</f>
        <v>Yes</v>
      </c>
      <c r="E75" s="5">
        <v>0.55000000000000004</v>
      </c>
      <c r="F75" s="5" t="s">
        <v>101</v>
      </c>
      <c r="G75" s="5">
        <v>8.6670999999999998E-2</v>
      </c>
      <c r="H75" s="19">
        <f>(IF(E75="-",1,E75)*IF(F75="-",1,F75)*IF(G75="-",1,G75))</f>
        <v>4.7669050000000004E-2</v>
      </c>
      <c r="I75" s="5" t="s">
        <v>102</v>
      </c>
      <c r="J75" s="31">
        <v>2650</v>
      </c>
      <c r="K75" s="32">
        <f>IF(D75="Yes",H75*J75,0)</f>
        <v>126.32298250000001</v>
      </c>
      <c r="L75" s="13"/>
    </row>
    <row r="76" spans="1:29" s="1" customFormat="1" ht="30" x14ac:dyDescent="0.2">
      <c r="A76" s="10" t="s">
        <v>60</v>
      </c>
      <c r="B76" s="6" t="s">
        <v>30</v>
      </c>
      <c r="C76" s="5">
        <v>1</v>
      </c>
      <c r="D76" s="5" t="s">
        <v>100</v>
      </c>
      <c r="E76" s="5"/>
      <c r="F76" s="5"/>
      <c r="G76" s="5"/>
      <c r="H76" s="19"/>
      <c r="I76" s="5"/>
      <c r="J76" s="31"/>
      <c r="K76" s="32"/>
      <c r="L76" s="13"/>
    </row>
    <row r="77" spans="1:29" s="1" customFormat="1" x14ac:dyDescent="0.2">
      <c r="A77" s="14" t="s">
        <v>35</v>
      </c>
      <c r="B77" s="6" t="s">
        <v>28</v>
      </c>
      <c r="C77" s="5">
        <f>C76</f>
        <v>1</v>
      </c>
      <c r="D77" s="5" t="str">
        <f>D76</f>
        <v>No</v>
      </c>
      <c r="E77" s="5">
        <v>10</v>
      </c>
      <c r="F77" s="5">
        <f>0.232*2</f>
        <v>0.46400000000000002</v>
      </c>
      <c r="G77" s="5" t="s">
        <v>101</v>
      </c>
      <c r="H77" s="19">
        <f>(IF(E77="-",1,E77)*IF(F77="-",1,F77)*IF(G77="-",1,G77))</f>
        <v>4.6400000000000006</v>
      </c>
      <c r="I77" s="5" t="s">
        <v>103</v>
      </c>
      <c r="J77" s="31">
        <v>12</v>
      </c>
      <c r="K77" s="32">
        <f>IF(D77="Yes",H77*J77,0)</f>
        <v>0</v>
      </c>
      <c r="L77" s="13"/>
    </row>
    <row r="78" spans="1:29" s="1" customFormat="1" x14ac:dyDescent="0.2">
      <c r="A78" s="14" t="s">
        <v>36</v>
      </c>
      <c r="B78" s="6" t="s">
        <v>27</v>
      </c>
      <c r="C78" s="5">
        <f>C76</f>
        <v>1</v>
      </c>
      <c r="D78" s="5" t="str">
        <f>D76</f>
        <v>No</v>
      </c>
      <c r="E78" s="5">
        <v>10</v>
      </c>
      <c r="F78" s="5" t="s">
        <v>101</v>
      </c>
      <c r="G78" s="5">
        <v>8.6670999999999998E-2</v>
      </c>
      <c r="H78" s="19">
        <f>(IF(E78="-",1,E78)*IF(F78="-",1,F78)*IF(G78="-",1,G78))</f>
        <v>0.86670999999999998</v>
      </c>
      <c r="I78" s="5" t="s">
        <v>102</v>
      </c>
      <c r="J78" s="31">
        <v>2250</v>
      </c>
      <c r="K78" s="32">
        <f>IF(D78="Yes",H78*J78,0)</f>
        <v>0</v>
      </c>
      <c r="L78" s="13"/>
    </row>
    <row r="79" spans="1:29" s="1" customFormat="1" ht="30" x14ac:dyDescent="0.2">
      <c r="A79" s="10" t="s">
        <v>61</v>
      </c>
      <c r="B79" s="6" t="s">
        <v>29</v>
      </c>
      <c r="C79" s="5">
        <v>1</v>
      </c>
      <c r="D79" s="5" t="s">
        <v>100</v>
      </c>
      <c r="E79" s="5"/>
      <c r="F79" s="5"/>
      <c r="G79" s="5"/>
      <c r="H79" s="19"/>
      <c r="I79" s="5"/>
      <c r="J79" s="31"/>
      <c r="K79" s="31"/>
      <c r="L79" s="13"/>
    </row>
    <row r="80" spans="1:29" s="1" customFormat="1" x14ac:dyDescent="0.2">
      <c r="A80" s="14" t="s">
        <v>35</v>
      </c>
      <c r="B80" s="6" t="s">
        <v>28</v>
      </c>
      <c r="C80" s="5">
        <f>C79</f>
        <v>1</v>
      </c>
      <c r="D80" s="5" t="str">
        <f>D79</f>
        <v>No</v>
      </c>
      <c r="E80" s="5">
        <v>10</v>
      </c>
      <c r="F80" s="5">
        <f>0.232*2</f>
        <v>0.46400000000000002</v>
      </c>
      <c r="G80" s="5" t="s">
        <v>101</v>
      </c>
      <c r="H80" s="19">
        <f>(IF(E80="-",1,E80)*IF(F80="-",1,F80)*IF(G80="-",1,G80))</f>
        <v>4.6400000000000006</v>
      </c>
      <c r="I80" s="5" t="s">
        <v>103</v>
      </c>
      <c r="J80" s="31">
        <v>12</v>
      </c>
      <c r="K80" s="32">
        <f>IF(D80="Yes",H80*J80,0)</f>
        <v>0</v>
      </c>
      <c r="L80" s="13"/>
    </row>
    <row r="81" spans="1:12" s="1" customFormat="1" x14ac:dyDescent="0.2">
      <c r="A81" s="14" t="s">
        <v>36</v>
      </c>
      <c r="B81" s="6" t="s">
        <v>27</v>
      </c>
      <c r="C81" s="22">
        <f>C79</f>
        <v>1</v>
      </c>
      <c r="D81" s="22" t="str">
        <f>D79</f>
        <v>No</v>
      </c>
      <c r="E81" s="22">
        <v>10</v>
      </c>
      <c r="F81" s="22" t="s">
        <v>101</v>
      </c>
      <c r="G81" s="22">
        <f>2*0.011551</f>
        <v>2.3102000000000001E-2</v>
      </c>
      <c r="H81" s="23">
        <f>(IF(E81="-",1,E81)*IF(F81="-",1,F81)*IF(G81="-",1,G81))</f>
        <v>0.23102</v>
      </c>
      <c r="I81" s="22" t="s">
        <v>102</v>
      </c>
      <c r="J81" s="31">
        <v>2450</v>
      </c>
      <c r="K81" s="32">
        <f>IF(D81="Yes",H81*J81,0)</f>
        <v>0</v>
      </c>
      <c r="L81" s="13"/>
    </row>
    <row r="82" spans="1:12" s="1" customFormat="1" ht="15.75" thickBot="1" x14ac:dyDescent="0.25">
      <c r="A82" s="34"/>
      <c r="B82" s="35"/>
      <c r="C82" s="36"/>
      <c r="D82" s="36"/>
      <c r="E82" s="36"/>
      <c r="F82" s="36"/>
      <c r="G82" s="36"/>
      <c r="H82" s="37"/>
      <c r="I82" s="38"/>
      <c r="J82" s="39" t="s">
        <v>116</v>
      </c>
      <c r="K82" s="40">
        <f>SUM(K68:K81)</f>
        <v>3507.8518864999996</v>
      </c>
      <c r="L82" s="41" t="str">
        <f>TEXT(K82/10,"0.0 ₹")&amp;" Per Mtr"</f>
        <v>350.8 ₹ Per Mtr</v>
      </c>
    </row>
    <row r="83" spans="1:12" s="1" customFormat="1" x14ac:dyDescent="0.2">
      <c r="A83" s="28"/>
      <c r="B83" s="29"/>
      <c r="C83" s="30"/>
      <c r="D83" s="30"/>
      <c r="E83" s="30"/>
      <c r="F83" s="30"/>
      <c r="G83" s="30"/>
      <c r="H83" s="47"/>
      <c r="I83" s="48"/>
      <c r="J83" s="49"/>
      <c r="K83" s="50"/>
      <c r="L83" s="48"/>
    </row>
  </sheetData>
  <printOptions horizontalCentered="1"/>
  <pageMargins left="0.2" right="0.2" top="0.5" bottom="0.25" header="0.25" footer="0.2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"/>
  <sheetViews>
    <sheetView topLeftCell="A61" workbookViewId="0">
      <selection activeCell="B85" sqref="B85"/>
    </sheetView>
  </sheetViews>
  <sheetFormatPr defaultRowHeight="15" x14ac:dyDescent="0.2"/>
  <cols>
    <col min="2" max="2" width="32.41796875" customWidth="1"/>
    <col min="3" max="3" width="7.12890625" customWidth="1"/>
    <col min="4" max="4" width="8.7421875" customWidth="1"/>
    <col min="5" max="7" width="7.26171875" customWidth="1"/>
    <col min="8" max="8" width="10.76171875" bestFit="1" customWidth="1"/>
    <col min="11" max="11" width="10.76171875" bestFit="1" customWidth="1"/>
    <col min="12" max="12" width="18.5625" customWidth="1"/>
  </cols>
  <sheetData>
    <row r="1" spans="1:12" ht="42.75" customHeight="1" thickBot="1" x14ac:dyDescent="0.25">
      <c r="A1" s="15" t="s">
        <v>0</v>
      </c>
      <c r="B1" s="16" t="s">
        <v>1</v>
      </c>
      <c r="C1" s="16" t="s">
        <v>2</v>
      </c>
      <c r="D1" s="17" t="s">
        <v>4</v>
      </c>
      <c r="E1" s="17" t="s">
        <v>6</v>
      </c>
      <c r="F1" s="17" t="s">
        <v>5</v>
      </c>
      <c r="G1" s="17" t="s">
        <v>97</v>
      </c>
      <c r="H1" s="16" t="s">
        <v>8</v>
      </c>
      <c r="I1" s="17" t="s">
        <v>7</v>
      </c>
      <c r="J1" s="16" t="s">
        <v>3</v>
      </c>
      <c r="K1" s="18" t="s">
        <v>98</v>
      </c>
      <c r="L1" s="18" t="s">
        <v>96</v>
      </c>
    </row>
    <row r="2" spans="1:12" s="2" customFormat="1" x14ac:dyDescent="0.2">
      <c r="A2" s="42" t="s">
        <v>62</v>
      </c>
      <c r="B2" s="43" t="s">
        <v>63</v>
      </c>
      <c r="C2" s="44"/>
      <c r="D2" s="44"/>
      <c r="E2" s="44"/>
      <c r="F2" s="44"/>
      <c r="G2" s="44"/>
      <c r="H2" s="44"/>
      <c r="I2" s="44"/>
      <c r="J2" s="44"/>
      <c r="K2" s="45"/>
      <c r="L2" s="46"/>
    </row>
    <row r="3" spans="1:12" s="1" customFormat="1" x14ac:dyDescent="0.2">
      <c r="A3" s="10" t="s">
        <v>64</v>
      </c>
      <c r="B3" s="3" t="s">
        <v>10</v>
      </c>
      <c r="C3" s="9"/>
      <c r="D3" s="4"/>
      <c r="E3" s="4"/>
      <c r="F3" s="4"/>
      <c r="G3" s="4"/>
      <c r="H3" s="4"/>
      <c r="I3" s="4"/>
      <c r="J3" s="4"/>
      <c r="K3" s="4"/>
      <c r="L3" s="11"/>
    </row>
    <row r="4" spans="1:12" s="1" customFormat="1" x14ac:dyDescent="0.2">
      <c r="A4" s="10" t="s">
        <v>65</v>
      </c>
      <c r="B4" s="6" t="s">
        <v>23</v>
      </c>
      <c r="C4" s="7">
        <v>1</v>
      </c>
      <c r="D4" s="5" t="s">
        <v>99</v>
      </c>
      <c r="E4" s="19">
        <v>10</v>
      </c>
      <c r="F4" s="19" t="s">
        <v>101</v>
      </c>
      <c r="G4" s="19">
        <v>1</v>
      </c>
      <c r="H4" s="19">
        <f>(IF(E4="-",1,E4)*IF(F4="-",1,F4)*IF(G4="-",1,G4))</f>
        <v>10</v>
      </c>
      <c r="I4" s="7" t="s">
        <v>102</v>
      </c>
      <c r="J4" s="32">
        <v>80</v>
      </c>
      <c r="K4" s="32">
        <f>IF(D4="Yes",H4*J4,0)</f>
        <v>800</v>
      </c>
      <c r="L4" s="13"/>
    </row>
    <row r="5" spans="1:12" s="1" customFormat="1" x14ac:dyDescent="0.2">
      <c r="A5" s="10" t="s">
        <v>66</v>
      </c>
      <c r="B5" s="6" t="s">
        <v>24</v>
      </c>
      <c r="C5" s="5">
        <v>1</v>
      </c>
      <c r="D5" s="5" t="s">
        <v>99</v>
      </c>
      <c r="E5" s="19">
        <v>10</v>
      </c>
      <c r="F5" s="19" t="s">
        <v>101</v>
      </c>
      <c r="G5" s="19" t="s">
        <v>101</v>
      </c>
      <c r="H5" s="19">
        <f>(IF(E5="-",1,E5)*IF(F5="-",1,F5)*IF(G5="-",1,G5))</f>
        <v>10</v>
      </c>
      <c r="I5" s="5" t="s">
        <v>103</v>
      </c>
      <c r="J5" s="31">
        <v>22</v>
      </c>
      <c r="K5" s="32">
        <f>IF(D5="Yes",H5*J5,0)</f>
        <v>220</v>
      </c>
      <c r="L5" s="13"/>
    </row>
    <row r="6" spans="1:12" s="1" customFormat="1" x14ac:dyDescent="0.2">
      <c r="A6" s="10" t="s">
        <v>117</v>
      </c>
      <c r="B6" s="6" t="s">
        <v>107</v>
      </c>
      <c r="C6" s="5">
        <v>1</v>
      </c>
      <c r="D6" s="5" t="s">
        <v>99</v>
      </c>
      <c r="E6" s="19">
        <v>10</v>
      </c>
      <c r="F6" s="19" t="s">
        <v>101</v>
      </c>
      <c r="G6" s="19" t="s">
        <v>101</v>
      </c>
      <c r="H6" s="19">
        <f>(IF(E6="-",1,E6)*IF(F6="-",1,F6)*IF(G6="-",1,G6))</f>
        <v>10</v>
      </c>
      <c r="I6" s="5" t="s">
        <v>102</v>
      </c>
      <c r="J6" s="31">
        <v>12</v>
      </c>
      <c r="K6" s="32">
        <f>IF(D6="Yes",H6*J6,0)</f>
        <v>120</v>
      </c>
      <c r="L6" s="13"/>
    </row>
    <row r="7" spans="1:12" s="1" customFormat="1" x14ac:dyDescent="0.2">
      <c r="A7" s="10" t="s">
        <v>118</v>
      </c>
      <c r="B7" s="6" t="s">
        <v>25</v>
      </c>
      <c r="C7" s="5">
        <v>1</v>
      </c>
      <c r="D7" s="5" t="s">
        <v>99</v>
      </c>
      <c r="E7" s="19">
        <v>10</v>
      </c>
      <c r="F7" s="19">
        <v>0.3</v>
      </c>
      <c r="G7" s="19">
        <v>0.1</v>
      </c>
      <c r="H7" s="19">
        <f>(IF(E7="-",1,E7)*IF(F7="-",1,F7)*IF(G7="-",1,G7))</f>
        <v>0.30000000000000004</v>
      </c>
      <c r="I7" s="5" t="s">
        <v>102</v>
      </c>
      <c r="J7" s="31">
        <v>2250</v>
      </c>
      <c r="K7" s="32">
        <f>IF(D7="Yes",H7*J7,0)</f>
        <v>675.00000000000011</v>
      </c>
      <c r="L7" s="13"/>
    </row>
    <row r="8" spans="1:12" s="1" customFormat="1" x14ac:dyDescent="0.2">
      <c r="A8" s="10" t="s">
        <v>67</v>
      </c>
      <c r="B8" s="6" t="s">
        <v>26</v>
      </c>
      <c r="C8" s="5">
        <v>1</v>
      </c>
      <c r="D8" s="5" t="s">
        <v>99</v>
      </c>
      <c r="E8" s="19">
        <v>10</v>
      </c>
      <c r="F8" s="19" t="s">
        <v>101</v>
      </c>
      <c r="G8" s="19" t="s">
        <v>101</v>
      </c>
      <c r="H8" s="19">
        <f>(IF(E8="-",1,E8)*IF(F8="-",1,F8)*IF(G8="-",1,G8))</f>
        <v>10</v>
      </c>
      <c r="I8" s="5" t="s">
        <v>104</v>
      </c>
      <c r="J8" s="31">
        <v>40</v>
      </c>
      <c r="K8" s="32">
        <f>IF(D8="Yes",H8*J8,0)</f>
        <v>400</v>
      </c>
      <c r="L8" s="13"/>
    </row>
    <row r="9" spans="1:12" s="1" customFormat="1" ht="33" customHeight="1" x14ac:dyDescent="0.2">
      <c r="A9" s="10" t="s">
        <v>68</v>
      </c>
      <c r="B9" s="6" t="s">
        <v>30</v>
      </c>
      <c r="C9" s="5">
        <v>1</v>
      </c>
      <c r="D9" s="5" t="s">
        <v>99</v>
      </c>
      <c r="E9" s="5"/>
      <c r="F9" s="5"/>
      <c r="G9" s="5"/>
      <c r="H9" s="19"/>
      <c r="I9" s="5"/>
      <c r="J9" s="31"/>
      <c r="K9" s="32"/>
      <c r="L9" s="13"/>
    </row>
    <row r="10" spans="1:12" s="1" customFormat="1" x14ac:dyDescent="0.2">
      <c r="A10" s="14" t="s">
        <v>35</v>
      </c>
      <c r="B10" s="6" t="s">
        <v>28</v>
      </c>
      <c r="C10" s="5">
        <f>C9</f>
        <v>1</v>
      </c>
      <c r="D10" s="5" t="str">
        <f>D9</f>
        <v>Yes</v>
      </c>
      <c r="E10" s="5">
        <v>10</v>
      </c>
      <c r="F10" s="5">
        <f>0.1*2</f>
        <v>0.2</v>
      </c>
      <c r="G10" s="5" t="s">
        <v>101</v>
      </c>
      <c r="H10" s="19">
        <f>(IF(E10="-",1,E10)*IF(F10="-",1,F10)*IF(G10="-",1,G10))</f>
        <v>2</v>
      </c>
      <c r="I10" s="5" t="s">
        <v>103</v>
      </c>
      <c r="J10" s="31">
        <v>12</v>
      </c>
      <c r="K10" s="32">
        <f>IF(D10="Yes",H10*J10,0)</f>
        <v>24</v>
      </c>
      <c r="L10" s="13"/>
    </row>
    <row r="11" spans="1:12" s="1" customFormat="1" x14ac:dyDescent="0.2">
      <c r="A11" s="14" t="s">
        <v>36</v>
      </c>
      <c r="B11" s="6" t="s">
        <v>27</v>
      </c>
      <c r="C11" s="5">
        <f>C9</f>
        <v>1</v>
      </c>
      <c r="D11" s="5" t="str">
        <f>D9</f>
        <v>Yes</v>
      </c>
      <c r="E11" s="5">
        <v>10</v>
      </c>
      <c r="F11" s="5" t="s">
        <v>101</v>
      </c>
      <c r="G11" s="5">
        <f>0.033927+0.013744/2</f>
        <v>4.0799000000000002E-2</v>
      </c>
      <c r="H11" s="19">
        <f>(IF(E11="-",1,E11)*IF(F11="-",1,F11)*IF(G11="-",1,G11))</f>
        <v>0.40799000000000002</v>
      </c>
      <c r="I11" s="5" t="s">
        <v>102</v>
      </c>
      <c r="J11" s="31">
        <v>2250</v>
      </c>
      <c r="K11" s="32">
        <f>IF(D11="Yes",H11*J11,0)</f>
        <v>917.97750000000008</v>
      </c>
      <c r="L11" s="13"/>
    </row>
    <row r="12" spans="1:12" s="1" customFormat="1" ht="30" x14ac:dyDescent="0.2">
      <c r="A12" s="10" t="s">
        <v>69</v>
      </c>
      <c r="B12" s="6" t="s">
        <v>29</v>
      </c>
      <c r="C12" s="5">
        <v>1</v>
      </c>
      <c r="D12" s="5" t="s">
        <v>100</v>
      </c>
      <c r="E12" s="5"/>
      <c r="F12" s="5"/>
      <c r="G12" s="5"/>
      <c r="H12" s="19"/>
      <c r="I12" s="5"/>
      <c r="J12" s="31"/>
      <c r="K12" s="31"/>
      <c r="L12" s="13"/>
    </row>
    <row r="13" spans="1:12" s="1" customFormat="1" x14ac:dyDescent="0.2">
      <c r="A13" s="14" t="s">
        <v>35</v>
      </c>
      <c r="B13" s="6" t="s">
        <v>28</v>
      </c>
      <c r="C13" s="5">
        <f>C12</f>
        <v>1</v>
      </c>
      <c r="D13" s="5" t="str">
        <f>D12</f>
        <v>No</v>
      </c>
      <c r="E13" s="5">
        <v>10</v>
      </c>
      <c r="F13" s="5">
        <f>0.1*2</f>
        <v>0.2</v>
      </c>
      <c r="G13" s="5" t="s">
        <v>101</v>
      </c>
      <c r="H13" s="19">
        <f>(IF(E13="-",1,E13)*IF(F13="-",1,F13)*IF(G13="-",1,G13))</f>
        <v>2</v>
      </c>
      <c r="I13" s="5" t="s">
        <v>103</v>
      </c>
      <c r="J13" s="31">
        <v>12</v>
      </c>
      <c r="K13" s="32">
        <f>IF(D13="Yes",H13*J13,0)</f>
        <v>0</v>
      </c>
      <c r="L13" s="13"/>
    </row>
    <row r="14" spans="1:12" s="1" customFormat="1" x14ac:dyDescent="0.2">
      <c r="A14" s="14" t="s">
        <v>36</v>
      </c>
      <c r="B14" s="6" t="s">
        <v>27</v>
      </c>
      <c r="C14" s="22">
        <f>C12</f>
        <v>1</v>
      </c>
      <c r="D14" s="22" t="str">
        <f>D12</f>
        <v>No</v>
      </c>
      <c r="E14" s="22">
        <v>10</v>
      </c>
      <c r="F14" s="22" t="s">
        <v>101</v>
      </c>
      <c r="G14" s="22">
        <f>2*0.002146+0.013744/4</f>
        <v>7.7279999999999996E-3</v>
      </c>
      <c r="H14" s="23">
        <f>(IF(E14="-",1,E14)*IF(F14="-",1,F14)*IF(G14="-",1,G14))</f>
        <v>7.7280000000000001E-2</v>
      </c>
      <c r="I14" s="22" t="s">
        <v>102</v>
      </c>
      <c r="J14" s="31">
        <v>2450</v>
      </c>
      <c r="K14" s="32">
        <f>IF(D14="Yes",H14*J14,0)</f>
        <v>0</v>
      </c>
      <c r="L14" s="13"/>
    </row>
    <row r="15" spans="1:12" s="1" customFormat="1" ht="15.75" thickBot="1" x14ac:dyDescent="0.25">
      <c r="A15" s="34"/>
      <c r="B15" s="35"/>
      <c r="C15" s="36"/>
      <c r="D15" s="36"/>
      <c r="E15" s="36"/>
      <c r="F15" s="36"/>
      <c r="G15" s="36"/>
      <c r="H15" s="37"/>
      <c r="I15" s="38"/>
      <c r="J15" s="39" t="s">
        <v>116</v>
      </c>
      <c r="K15" s="40">
        <f>SUM(K4:K14)</f>
        <v>3156.9775</v>
      </c>
      <c r="L15" s="41" t="str">
        <f>TEXT(K15/10,"0.0 ₹")&amp;" Per Mtr"</f>
        <v>315.7 ₹ Per Mtr</v>
      </c>
    </row>
    <row r="16" spans="1:12" s="1" customFormat="1" x14ac:dyDescent="0.2">
      <c r="A16" s="10" t="s">
        <v>70</v>
      </c>
      <c r="B16" s="3" t="s">
        <v>12</v>
      </c>
      <c r="C16" s="9"/>
      <c r="D16" s="4"/>
      <c r="E16" s="4"/>
      <c r="F16" s="4"/>
      <c r="G16" s="4"/>
      <c r="H16" s="4"/>
      <c r="I16" s="4"/>
      <c r="J16" s="4"/>
      <c r="K16" s="4"/>
      <c r="L16" s="11"/>
    </row>
    <row r="17" spans="1:12" s="1" customFormat="1" x14ac:dyDescent="0.2">
      <c r="A17" s="10" t="s">
        <v>71</v>
      </c>
      <c r="B17" s="6" t="s">
        <v>23</v>
      </c>
      <c r="C17" s="7">
        <v>1</v>
      </c>
      <c r="D17" s="5" t="s">
        <v>99</v>
      </c>
      <c r="E17" s="19">
        <v>10</v>
      </c>
      <c r="F17" s="19" t="s">
        <v>101</v>
      </c>
      <c r="G17" s="19">
        <v>1</v>
      </c>
      <c r="H17" s="19">
        <f>(IF(E17="-",1,E17)*IF(F17="-",1,F17)*IF(G17="-",1,G17))</f>
        <v>10</v>
      </c>
      <c r="I17" s="7" t="s">
        <v>102</v>
      </c>
      <c r="J17" s="32">
        <v>80</v>
      </c>
      <c r="K17" s="32">
        <f>IF(D17="Yes",H17*J17,0)</f>
        <v>800</v>
      </c>
      <c r="L17" s="13"/>
    </row>
    <row r="18" spans="1:12" s="1" customFormat="1" x14ac:dyDescent="0.2">
      <c r="A18" s="10" t="s">
        <v>72</v>
      </c>
      <c r="B18" s="6" t="s">
        <v>24</v>
      </c>
      <c r="C18" s="5">
        <v>1</v>
      </c>
      <c r="D18" s="5" t="s">
        <v>99</v>
      </c>
      <c r="E18" s="19">
        <v>10</v>
      </c>
      <c r="F18" s="19" t="s">
        <v>101</v>
      </c>
      <c r="G18" s="19" t="s">
        <v>101</v>
      </c>
      <c r="H18" s="19">
        <f>(IF(E18="-",1,E18)*IF(F18="-",1,F18)*IF(G18="-",1,G18))</f>
        <v>10</v>
      </c>
      <c r="I18" s="5" t="s">
        <v>103</v>
      </c>
      <c r="J18" s="31">
        <v>22</v>
      </c>
      <c r="K18" s="32">
        <f>IF(D18="Yes",H18*J18,0)</f>
        <v>220</v>
      </c>
      <c r="L18" s="13"/>
    </row>
    <row r="19" spans="1:12" x14ac:dyDescent="0.2">
      <c r="A19" s="10" t="s">
        <v>119</v>
      </c>
      <c r="B19" s="6" t="s">
        <v>107</v>
      </c>
      <c r="C19" s="5">
        <v>1</v>
      </c>
      <c r="D19" s="5" t="s">
        <v>99</v>
      </c>
      <c r="E19" s="19">
        <v>10</v>
      </c>
      <c r="F19" s="19" t="s">
        <v>101</v>
      </c>
      <c r="G19" s="19" t="s">
        <v>101</v>
      </c>
      <c r="H19" s="19">
        <f>(IF(E19="-",1,E19)*IF(F19="-",1,F19)*IF(G19="-",1,G19))</f>
        <v>10</v>
      </c>
      <c r="I19" s="5" t="s">
        <v>102</v>
      </c>
      <c r="J19" s="31">
        <v>12</v>
      </c>
      <c r="K19" s="32">
        <f>IF(D19="Yes",H19*J19,0)</f>
        <v>120</v>
      </c>
      <c r="L19" s="13"/>
    </row>
    <row r="20" spans="1:12" s="1" customFormat="1" x14ac:dyDescent="0.2">
      <c r="A20" s="10" t="s">
        <v>120</v>
      </c>
      <c r="B20" s="6" t="s">
        <v>25</v>
      </c>
      <c r="C20" s="5">
        <v>1</v>
      </c>
      <c r="D20" s="5" t="s">
        <v>99</v>
      </c>
      <c r="E20" s="19">
        <v>10</v>
      </c>
      <c r="F20" s="19">
        <v>0.35</v>
      </c>
      <c r="G20" s="19">
        <v>0.1</v>
      </c>
      <c r="H20" s="19">
        <f>(IF(E20="-",1,E20)*IF(F20="-",1,F20)*IF(G20="-",1,G20))</f>
        <v>0.35000000000000003</v>
      </c>
      <c r="I20" s="5" t="s">
        <v>102</v>
      </c>
      <c r="J20" s="31">
        <v>2250</v>
      </c>
      <c r="K20" s="32">
        <f>IF(D20="Yes",H20*J20,0)</f>
        <v>787.50000000000011</v>
      </c>
      <c r="L20" s="13"/>
    </row>
    <row r="21" spans="1:12" s="1" customFormat="1" x14ac:dyDescent="0.2">
      <c r="A21" s="10" t="s">
        <v>73</v>
      </c>
      <c r="B21" s="6" t="s">
        <v>26</v>
      </c>
      <c r="C21" s="5">
        <v>1</v>
      </c>
      <c r="D21" s="5" t="s">
        <v>99</v>
      </c>
      <c r="E21" s="19">
        <v>10</v>
      </c>
      <c r="F21" s="19" t="s">
        <v>101</v>
      </c>
      <c r="G21" s="19" t="s">
        <v>101</v>
      </c>
      <c r="H21" s="19">
        <f>(IF(E21="-",1,E21)*IF(F21="-",1,F21)*IF(G21="-",1,G21))</f>
        <v>10</v>
      </c>
      <c r="I21" s="5" t="s">
        <v>104</v>
      </c>
      <c r="J21" s="31">
        <v>45</v>
      </c>
      <c r="K21" s="32">
        <f>IF(D21="Yes",H21*J21,0)</f>
        <v>450</v>
      </c>
      <c r="L21" s="13"/>
    </row>
    <row r="22" spans="1:12" s="1" customFormat="1" ht="30" x14ac:dyDescent="0.2">
      <c r="A22" s="10" t="s">
        <v>74</v>
      </c>
      <c r="B22" s="6" t="s">
        <v>30</v>
      </c>
      <c r="C22" s="5">
        <v>1</v>
      </c>
      <c r="D22" s="5" t="s">
        <v>99</v>
      </c>
      <c r="E22" s="5"/>
      <c r="F22" s="5"/>
      <c r="G22" s="5"/>
      <c r="H22" s="19"/>
      <c r="I22" s="5"/>
      <c r="J22" s="31"/>
      <c r="K22" s="32"/>
      <c r="L22" s="13"/>
    </row>
    <row r="23" spans="1:12" s="1" customFormat="1" x14ac:dyDescent="0.2">
      <c r="A23" s="14" t="s">
        <v>75</v>
      </c>
      <c r="B23" s="6" t="s">
        <v>28</v>
      </c>
      <c r="C23" s="5">
        <f>C22</f>
        <v>1</v>
      </c>
      <c r="D23" s="5" t="str">
        <f>D22</f>
        <v>Yes</v>
      </c>
      <c r="E23" s="5">
        <v>10</v>
      </c>
      <c r="F23" s="5">
        <f>0.125*2</f>
        <v>0.25</v>
      </c>
      <c r="G23" s="5" t="s">
        <v>101</v>
      </c>
      <c r="H23" s="19">
        <f>(IF(E23="-",1,E23)*IF(F23="-",1,F23)*IF(G23="-",1,G23))</f>
        <v>2.5</v>
      </c>
      <c r="I23" s="5" t="s">
        <v>103</v>
      </c>
      <c r="J23" s="31">
        <v>12</v>
      </c>
      <c r="K23" s="32">
        <f>IF(D23="Yes",H23*J23,0)</f>
        <v>30</v>
      </c>
      <c r="L23" s="13"/>
    </row>
    <row r="24" spans="1:12" s="1" customFormat="1" x14ac:dyDescent="0.2">
      <c r="A24" s="14" t="s">
        <v>76</v>
      </c>
      <c r="B24" s="6" t="s">
        <v>27</v>
      </c>
      <c r="C24" s="5">
        <f>C22</f>
        <v>1</v>
      </c>
      <c r="D24" s="5" t="str">
        <f>D22</f>
        <v>Yes</v>
      </c>
      <c r="E24" s="5">
        <v>10</v>
      </c>
      <c r="F24" s="5" t="s">
        <v>101</v>
      </c>
      <c r="G24" s="5">
        <f>0.042768+0.017671/2</f>
        <v>5.1603499999999997E-2</v>
      </c>
      <c r="H24" s="19">
        <f>(IF(E24="-",1,E24)*IF(F24="-",1,F24)*IF(G24="-",1,G24))</f>
        <v>0.51603500000000002</v>
      </c>
      <c r="I24" s="5" t="s">
        <v>102</v>
      </c>
      <c r="J24" s="31">
        <v>2250</v>
      </c>
      <c r="K24" s="32">
        <f>IF(D24="Yes",H24*J24,0)</f>
        <v>1161.0787500000001</v>
      </c>
      <c r="L24" s="13"/>
    </row>
    <row r="25" spans="1:12" s="1" customFormat="1" ht="33" customHeight="1" x14ac:dyDescent="0.2">
      <c r="A25" s="10" t="s">
        <v>77</v>
      </c>
      <c r="B25" s="6" t="s">
        <v>29</v>
      </c>
      <c r="C25" s="5">
        <v>1</v>
      </c>
      <c r="D25" s="5" t="s">
        <v>100</v>
      </c>
      <c r="E25" s="5"/>
      <c r="F25" s="5"/>
      <c r="G25" s="5"/>
      <c r="H25" s="19"/>
      <c r="I25" s="5"/>
      <c r="J25" s="31"/>
      <c r="K25" s="31"/>
      <c r="L25" s="13"/>
    </row>
    <row r="26" spans="1:12" s="1" customFormat="1" x14ac:dyDescent="0.2">
      <c r="A26" s="14" t="s">
        <v>75</v>
      </c>
      <c r="B26" s="6" t="s">
        <v>28</v>
      </c>
      <c r="C26" s="5">
        <f>C25</f>
        <v>1</v>
      </c>
      <c r="D26" s="5" t="str">
        <f>D25</f>
        <v>No</v>
      </c>
      <c r="E26" s="5">
        <v>10</v>
      </c>
      <c r="F26" s="5">
        <f>0.125*2</f>
        <v>0.25</v>
      </c>
      <c r="G26" s="5" t="s">
        <v>101</v>
      </c>
      <c r="H26" s="19">
        <f>(IF(E26="-",1,E26)*IF(F26="-",1,F26)*IF(G26="-",1,G26))</f>
        <v>2.5</v>
      </c>
      <c r="I26" s="5" t="s">
        <v>103</v>
      </c>
      <c r="J26" s="31">
        <v>12</v>
      </c>
      <c r="K26" s="32">
        <f>IF(D26="Yes",H26*J26,0)</f>
        <v>0</v>
      </c>
      <c r="L26" s="13"/>
    </row>
    <row r="27" spans="1:12" s="1" customFormat="1" x14ac:dyDescent="0.2">
      <c r="A27" s="14" t="s">
        <v>76</v>
      </c>
      <c r="B27" s="6" t="s">
        <v>27</v>
      </c>
      <c r="C27" s="22">
        <f>C25</f>
        <v>1</v>
      </c>
      <c r="D27" s="22" t="str">
        <f>D25</f>
        <v>No</v>
      </c>
      <c r="E27" s="22">
        <v>10</v>
      </c>
      <c r="F27" s="22" t="s">
        <v>101</v>
      </c>
      <c r="G27" s="22">
        <f>2*0.003353+0.017671/4</f>
        <v>1.112375E-2</v>
      </c>
      <c r="H27" s="23">
        <f>(IF(E27="-",1,E27)*IF(F27="-",1,F27)*IF(G27="-",1,G27))</f>
        <v>0.1112375</v>
      </c>
      <c r="I27" s="22" t="s">
        <v>102</v>
      </c>
      <c r="J27" s="31">
        <v>2450</v>
      </c>
      <c r="K27" s="32">
        <f>IF(D27="Yes",H27*J27,0)</f>
        <v>0</v>
      </c>
      <c r="L27" s="13"/>
    </row>
    <row r="28" spans="1:12" s="1" customFormat="1" ht="15.75" thickBot="1" x14ac:dyDescent="0.25">
      <c r="A28" s="34"/>
      <c r="B28" s="35"/>
      <c r="C28" s="36"/>
      <c r="D28" s="36"/>
      <c r="E28" s="36"/>
      <c r="F28" s="36"/>
      <c r="G28" s="36"/>
      <c r="H28" s="37"/>
      <c r="I28" s="38"/>
      <c r="J28" s="39" t="s">
        <v>116</v>
      </c>
      <c r="K28" s="40">
        <f>SUM(K17:K27)</f>
        <v>3568.5787500000001</v>
      </c>
      <c r="L28" s="41" t="str">
        <f>TEXT(K28/10,"0.0 ₹")&amp;" Per Mtr"</f>
        <v>356.9 ₹ Per Mtr</v>
      </c>
    </row>
    <row r="29" spans="1:12" s="1" customFormat="1" x14ac:dyDescent="0.2">
      <c r="A29" s="10" t="s">
        <v>78</v>
      </c>
      <c r="B29" s="3" t="s">
        <v>13</v>
      </c>
      <c r="C29" s="9"/>
      <c r="D29" s="4"/>
      <c r="E29" s="4"/>
      <c r="F29" s="4"/>
      <c r="G29" s="4"/>
      <c r="H29" s="4"/>
      <c r="I29" s="4"/>
      <c r="J29" s="4"/>
      <c r="K29" s="4"/>
      <c r="L29" s="11"/>
    </row>
    <row r="30" spans="1:12" s="1" customFormat="1" x14ac:dyDescent="0.2">
      <c r="A30" s="10" t="s">
        <v>79</v>
      </c>
      <c r="B30" s="6" t="s">
        <v>23</v>
      </c>
      <c r="C30" s="7">
        <v>1</v>
      </c>
      <c r="D30" s="5" t="s">
        <v>99</v>
      </c>
      <c r="E30" s="19">
        <v>10</v>
      </c>
      <c r="F30" s="19" t="s">
        <v>101</v>
      </c>
      <c r="G30" s="19">
        <v>1</v>
      </c>
      <c r="H30" s="19">
        <f>(IF(E30="-",1,E30)*IF(F30="-",1,F30)*IF(G30="-",1,G30))</f>
        <v>10</v>
      </c>
      <c r="I30" s="7" t="s">
        <v>102</v>
      </c>
      <c r="J30" s="32">
        <v>80</v>
      </c>
      <c r="K30" s="32">
        <f>IF(D30="Yes",H30*J30,0)</f>
        <v>800</v>
      </c>
      <c r="L30" s="13"/>
    </row>
    <row r="31" spans="1:12" s="1" customFormat="1" x14ac:dyDescent="0.2">
      <c r="A31" s="10" t="s">
        <v>80</v>
      </c>
      <c r="B31" s="6" t="s">
        <v>24</v>
      </c>
      <c r="C31" s="5">
        <v>1</v>
      </c>
      <c r="D31" s="5" t="s">
        <v>99</v>
      </c>
      <c r="E31" s="19">
        <v>10</v>
      </c>
      <c r="F31" s="19" t="s">
        <v>101</v>
      </c>
      <c r="G31" s="19" t="s">
        <v>101</v>
      </c>
      <c r="H31" s="19">
        <f>(IF(E31="-",1,E31)*IF(F31="-",1,F31)*IF(G31="-",1,G31))</f>
        <v>10</v>
      </c>
      <c r="I31" s="5" t="s">
        <v>103</v>
      </c>
      <c r="J31" s="31">
        <v>22</v>
      </c>
      <c r="K31" s="32">
        <f>IF(D31="Yes",H31*J31,0)</f>
        <v>220</v>
      </c>
      <c r="L31" s="13"/>
    </row>
    <row r="32" spans="1:12" s="1" customFormat="1" x14ac:dyDescent="0.2">
      <c r="A32" s="10" t="s">
        <v>121</v>
      </c>
      <c r="B32" s="6" t="s">
        <v>107</v>
      </c>
      <c r="C32" s="5">
        <v>1</v>
      </c>
      <c r="D32" s="5" t="s">
        <v>99</v>
      </c>
      <c r="E32" s="19">
        <v>10</v>
      </c>
      <c r="F32" s="19" t="s">
        <v>101</v>
      </c>
      <c r="G32" s="19" t="s">
        <v>101</v>
      </c>
      <c r="H32" s="19">
        <f>(IF(E32="-",1,E32)*IF(F32="-",1,F32)*IF(G32="-",1,G32))</f>
        <v>10</v>
      </c>
      <c r="I32" s="5" t="s">
        <v>102</v>
      </c>
      <c r="J32" s="31">
        <v>12</v>
      </c>
      <c r="K32" s="32">
        <f>IF(D32="Yes",H32*J32,0)</f>
        <v>120</v>
      </c>
      <c r="L32" s="13"/>
    </row>
    <row r="33" spans="1:12" s="1" customFormat="1" x14ac:dyDescent="0.2">
      <c r="A33" s="10" t="s">
        <v>122</v>
      </c>
      <c r="B33" s="6" t="s">
        <v>25</v>
      </c>
      <c r="C33" s="5">
        <v>1</v>
      </c>
      <c r="D33" s="5" t="s">
        <v>99</v>
      </c>
      <c r="E33" s="19">
        <v>10</v>
      </c>
      <c r="F33" s="19">
        <v>0.4</v>
      </c>
      <c r="G33" s="19">
        <v>0.1</v>
      </c>
      <c r="H33" s="19">
        <f>(IF(E33="-",1,E33)*IF(F33="-",1,F33)*IF(G33="-",1,G33))</f>
        <v>0.4</v>
      </c>
      <c r="I33" s="5" t="s">
        <v>102</v>
      </c>
      <c r="J33" s="31">
        <v>2250</v>
      </c>
      <c r="K33" s="32">
        <f>IF(D33="Yes",H33*J33,0)</f>
        <v>900</v>
      </c>
      <c r="L33" s="13"/>
    </row>
    <row r="34" spans="1:12" s="1" customFormat="1" x14ac:dyDescent="0.2">
      <c r="A34" s="10" t="s">
        <v>81</v>
      </c>
      <c r="B34" s="6" t="s">
        <v>26</v>
      </c>
      <c r="C34" s="5">
        <v>1</v>
      </c>
      <c r="D34" s="5" t="s">
        <v>99</v>
      </c>
      <c r="E34" s="19">
        <v>10</v>
      </c>
      <c r="F34" s="19" t="s">
        <v>101</v>
      </c>
      <c r="G34" s="19" t="s">
        <v>101</v>
      </c>
      <c r="H34" s="19">
        <f>(IF(E34="-",1,E34)*IF(F34="-",1,F34)*IF(G34="-",1,G34))</f>
        <v>10</v>
      </c>
      <c r="I34" s="5" t="s">
        <v>104</v>
      </c>
      <c r="J34" s="31">
        <v>50</v>
      </c>
      <c r="K34" s="32">
        <f>IF(D34="Yes",H34*J34,0)</f>
        <v>500</v>
      </c>
      <c r="L34" s="13"/>
    </row>
    <row r="35" spans="1:12" ht="30" x14ac:dyDescent="0.2">
      <c r="A35" s="10" t="s">
        <v>82</v>
      </c>
      <c r="B35" s="6" t="s">
        <v>30</v>
      </c>
      <c r="C35" s="5">
        <v>1</v>
      </c>
      <c r="D35" s="5" t="s">
        <v>99</v>
      </c>
      <c r="E35" s="5"/>
      <c r="F35" s="5"/>
      <c r="G35" s="5"/>
      <c r="H35" s="19"/>
      <c r="I35" s="5"/>
      <c r="J35" s="31"/>
      <c r="K35" s="32"/>
      <c r="L35" s="13"/>
    </row>
    <row r="36" spans="1:12" s="1" customFormat="1" x14ac:dyDescent="0.2">
      <c r="A36" s="14" t="s">
        <v>75</v>
      </c>
      <c r="B36" s="6" t="s">
        <v>28</v>
      </c>
      <c r="C36" s="5">
        <f>C35</f>
        <v>1</v>
      </c>
      <c r="D36" s="5" t="str">
        <f>D35</f>
        <v>Yes</v>
      </c>
      <c r="E36" s="5">
        <v>10</v>
      </c>
      <c r="F36" s="5">
        <f>0.15*2</f>
        <v>0.3</v>
      </c>
      <c r="G36" s="5" t="s">
        <v>101</v>
      </c>
      <c r="H36" s="19">
        <f>(IF(E36="-",1,E36)*IF(F36="-",1,F36)*IF(G36="-",1,G36))</f>
        <v>3</v>
      </c>
      <c r="I36" s="5" t="s">
        <v>103</v>
      </c>
      <c r="J36" s="31">
        <v>12</v>
      </c>
      <c r="K36" s="32">
        <f>IF(D36="Yes",H36*J36,0)</f>
        <v>36</v>
      </c>
      <c r="L36" s="13"/>
    </row>
    <row r="37" spans="1:12" s="1" customFormat="1" x14ac:dyDescent="0.2">
      <c r="A37" s="14" t="s">
        <v>76</v>
      </c>
      <c r="B37" s="6" t="s">
        <v>27</v>
      </c>
      <c r="C37" s="5">
        <f>C35</f>
        <v>1</v>
      </c>
      <c r="D37" s="5" t="str">
        <f>D35</f>
        <v>Yes</v>
      </c>
      <c r="E37" s="5">
        <v>10</v>
      </c>
      <c r="F37" s="5" t="s">
        <v>101</v>
      </c>
      <c r="G37" s="5">
        <f>0.052146+0.021598/2</f>
        <v>6.2945000000000001E-2</v>
      </c>
      <c r="H37" s="19">
        <f>(IF(E37="-",1,E37)*IF(F37="-",1,F37)*IF(G37="-",1,G37))</f>
        <v>0.62945000000000007</v>
      </c>
      <c r="I37" s="5" t="s">
        <v>102</v>
      </c>
      <c r="J37" s="31">
        <v>2250</v>
      </c>
      <c r="K37" s="32">
        <f>IF(D37="Yes",H37*J37,0)</f>
        <v>1416.2625</v>
      </c>
      <c r="L37" s="13"/>
    </row>
    <row r="38" spans="1:12" s="1" customFormat="1" ht="30" x14ac:dyDescent="0.2">
      <c r="A38" s="10" t="s">
        <v>83</v>
      </c>
      <c r="B38" s="6" t="s">
        <v>29</v>
      </c>
      <c r="C38" s="5">
        <v>1</v>
      </c>
      <c r="D38" s="5" t="s">
        <v>100</v>
      </c>
      <c r="E38" s="5"/>
      <c r="F38" s="5"/>
      <c r="G38" s="5"/>
      <c r="H38" s="19"/>
      <c r="I38" s="5"/>
      <c r="J38" s="31"/>
      <c r="K38" s="31"/>
      <c r="L38" s="13"/>
    </row>
    <row r="39" spans="1:12" s="1" customFormat="1" x14ac:dyDescent="0.2">
      <c r="A39" s="14" t="s">
        <v>75</v>
      </c>
      <c r="B39" s="6" t="s">
        <v>28</v>
      </c>
      <c r="C39" s="5">
        <f>C38</f>
        <v>1</v>
      </c>
      <c r="D39" s="5" t="str">
        <f>D38</f>
        <v>No</v>
      </c>
      <c r="E39" s="5">
        <v>10</v>
      </c>
      <c r="F39" s="5">
        <f>0.15*2</f>
        <v>0.3</v>
      </c>
      <c r="G39" s="5" t="s">
        <v>101</v>
      </c>
      <c r="H39" s="19">
        <f>(IF(E39="-",1,E39)*IF(F39="-",1,F39)*IF(G39="-",1,G39))</f>
        <v>3</v>
      </c>
      <c r="I39" s="5" t="s">
        <v>103</v>
      </c>
      <c r="J39" s="31">
        <v>12</v>
      </c>
      <c r="K39" s="32">
        <f>IF(D39="Yes",H39*J39,0)</f>
        <v>0</v>
      </c>
      <c r="L39" s="13"/>
    </row>
    <row r="40" spans="1:12" s="1" customFormat="1" x14ac:dyDescent="0.2">
      <c r="A40" s="14" t="s">
        <v>76</v>
      </c>
      <c r="B40" s="6" t="s">
        <v>27</v>
      </c>
      <c r="C40" s="22">
        <f>C38</f>
        <v>1</v>
      </c>
      <c r="D40" s="22" t="str">
        <f>D38</f>
        <v>No</v>
      </c>
      <c r="E40" s="22">
        <v>10</v>
      </c>
      <c r="F40" s="22" t="s">
        <v>101</v>
      </c>
      <c r="G40" s="22">
        <f>2*0.004829+0.021598/4</f>
        <v>1.50575E-2</v>
      </c>
      <c r="H40" s="23">
        <f>(IF(E40="-",1,E40)*IF(F40="-",1,F40)*IF(G40="-",1,G40))</f>
        <v>0.15057499999999999</v>
      </c>
      <c r="I40" s="22" t="s">
        <v>102</v>
      </c>
      <c r="J40" s="31">
        <v>2450</v>
      </c>
      <c r="K40" s="32">
        <f>IF(D40="Yes",H40*J40,0)</f>
        <v>0</v>
      </c>
      <c r="L40" s="13"/>
    </row>
    <row r="41" spans="1:12" s="1" customFormat="1" ht="33" customHeight="1" thickBot="1" x14ac:dyDescent="0.25">
      <c r="A41" s="34"/>
      <c r="B41" s="35"/>
      <c r="C41" s="36"/>
      <c r="D41" s="36"/>
      <c r="E41" s="36"/>
      <c r="F41" s="36"/>
      <c r="G41" s="36"/>
      <c r="H41" s="37"/>
      <c r="I41" s="38"/>
      <c r="J41" s="39" t="s">
        <v>116</v>
      </c>
      <c r="K41" s="40">
        <f>SUM(K30:K40)</f>
        <v>3992.2624999999998</v>
      </c>
      <c r="L41" s="41" t="str">
        <f>TEXT(K41/10,"0.0 ₹")&amp;" Per Mtr"</f>
        <v>399.2 ₹ Per Mtr</v>
      </c>
    </row>
    <row r="42" spans="1:12" s="1" customFormat="1" x14ac:dyDescent="0.2">
      <c r="A42" s="10" t="s">
        <v>84</v>
      </c>
      <c r="B42" s="3" t="s">
        <v>14</v>
      </c>
      <c r="C42" s="9"/>
      <c r="D42" s="4"/>
      <c r="E42" s="4"/>
      <c r="F42" s="4"/>
      <c r="G42" s="4"/>
      <c r="H42" s="4"/>
      <c r="I42" s="4"/>
      <c r="J42" s="4"/>
      <c r="K42" s="4"/>
      <c r="L42" s="11"/>
    </row>
    <row r="43" spans="1:12" s="1" customFormat="1" x14ac:dyDescent="0.2">
      <c r="A43" s="10" t="s">
        <v>85</v>
      </c>
      <c r="B43" s="6" t="s">
        <v>23</v>
      </c>
      <c r="C43" s="7">
        <v>1</v>
      </c>
      <c r="D43" s="5" t="s">
        <v>99</v>
      </c>
      <c r="E43" s="19">
        <v>10</v>
      </c>
      <c r="F43" s="19" t="s">
        <v>101</v>
      </c>
      <c r="G43" s="19">
        <v>1</v>
      </c>
      <c r="H43" s="19">
        <f>(IF(E43="-",1,E43)*IF(F43="-",1,F43)*IF(G43="-",1,G43))</f>
        <v>10</v>
      </c>
      <c r="I43" s="7" t="s">
        <v>102</v>
      </c>
      <c r="J43" s="32">
        <v>80</v>
      </c>
      <c r="K43" s="32">
        <f>IF(D43="Yes",H43*J43,0)</f>
        <v>800</v>
      </c>
      <c r="L43" s="13"/>
    </row>
    <row r="44" spans="1:12" s="1" customFormat="1" x14ac:dyDescent="0.2">
      <c r="A44" s="10" t="s">
        <v>86</v>
      </c>
      <c r="B44" s="6" t="s">
        <v>24</v>
      </c>
      <c r="C44" s="5">
        <v>1</v>
      </c>
      <c r="D44" s="5" t="s">
        <v>99</v>
      </c>
      <c r="E44" s="19">
        <v>10</v>
      </c>
      <c r="F44" s="19" t="s">
        <v>101</v>
      </c>
      <c r="G44" s="19" t="s">
        <v>101</v>
      </c>
      <c r="H44" s="19">
        <f>(IF(E44="-",1,E44)*IF(F44="-",1,F44)*IF(G44="-",1,G44))</f>
        <v>10</v>
      </c>
      <c r="I44" s="5" t="s">
        <v>103</v>
      </c>
      <c r="J44" s="31">
        <v>22</v>
      </c>
      <c r="K44" s="32">
        <f>IF(D44="Yes",H44*J44,0)</f>
        <v>220</v>
      </c>
      <c r="L44" s="13"/>
    </row>
    <row r="45" spans="1:12" s="1" customFormat="1" x14ac:dyDescent="0.2">
      <c r="A45" s="10" t="s">
        <v>123</v>
      </c>
      <c r="B45" s="6" t="s">
        <v>107</v>
      </c>
      <c r="C45" s="5">
        <v>1</v>
      </c>
      <c r="D45" s="5" t="s">
        <v>99</v>
      </c>
      <c r="E45" s="19">
        <v>10</v>
      </c>
      <c r="F45" s="19" t="s">
        <v>101</v>
      </c>
      <c r="G45" s="19" t="s">
        <v>101</v>
      </c>
      <c r="H45" s="19">
        <f>(IF(E45="-",1,E45)*IF(F45="-",1,F45)*IF(G45="-",1,G45))</f>
        <v>10</v>
      </c>
      <c r="I45" s="5" t="s">
        <v>102</v>
      </c>
      <c r="J45" s="31">
        <v>12</v>
      </c>
      <c r="K45" s="32">
        <f>IF(D45="Yes",H45*J45,0)</f>
        <v>120</v>
      </c>
      <c r="L45" s="13"/>
    </row>
    <row r="46" spans="1:12" s="1" customFormat="1" x14ac:dyDescent="0.2">
      <c r="A46" s="10" t="s">
        <v>124</v>
      </c>
      <c r="B46" s="6" t="s">
        <v>25</v>
      </c>
      <c r="C46" s="5">
        <v>1</v>
      </c>
      <c r="D46" s="5" t="s">
        <v>99</v>
      </c>
      <c r="E46" s="19">
        <v>10</v>
      </c>
      <c r="F46" s="19">
        <v>0.45</v>
      </c>
      <c r="G46" s="19">
        <v>0.1</v>
      </c>
      <c r="H46" s="19">
        <f>(IF(E46="-",1,E46)*IF(F46="-",1,F46)*IF(G46="-",1,G46))</f>
        <v>0.45</v>
      </c>
      <c r="I46" s="5" t="s">
        <v>102</v>
      </c>
      <c r="J46" s="31">
        <v>2250</v>
      </c>
      <c r="K46" s="32">
        <f>IF(D46="Yes",H46*J46,0)</f>
        <v>1012.5</v>
      </c>
      <c r="L46" s="13"/>
    </row>
    <row r="47" spans="1:12" s="1" customFormat="1" x14ac:dyDescent="0.2">
      <c r="A47" s="10" t="s">
        <v>87</v>
      </c>
      <c r="B47" s="6" t="s">
        <v>26</v>
      </c>
      <c r="C47" s="5">
        <v>1</v>
      </c>
      <c r="D47" s="5" t="s">
        <v>99</v>
      </c>
      <c r="E47" s="19">
        <v>10</v>
      </c>
      <c r="F47" s="19" t="s">
        <v>101</v>
      </c>
      <c r="G47" s="19" t="s">
        <v>101</v>
      </c>
      <c r="H47" s="19">
        <f>(IF(E47="-",1,E47)*IF(F47="-",1,F47)*IF(G47="-",1,G47))</f>
        <v>10</v>
      </c>
      <c r="I47" s="5" t="s">
        <v>104</v>
      </c>
      <c r="J47" s="31">
        <v>60</v>
      </c>
      <c r="K47" s="32">
        <f>IF(D47="Yes",H47*J47,0)</f>
        <v>600</v>
      </c>
      <c r="L47" s="13"/>
    </row>
    <row r="48" spans="1:12" s="1" customFormat="1" ht="30" x14ac:dyDescent="0.2">
      <c r="A48" s="10" t="s">
        <v>88</v>
      </c>
      <c r="B48" s="6" t="s">
        <v>30</v>
      </c>
      <c r="C48" s="5">
        <v>1</v>
      </c>
      <c r="D48" s="5" t="s">
        <v>99</v>
      </c>
      <c r="E48" s="5"/>
      <c r="F48" s="5"/>
      <c r="G48" s="5"/>
      <c r="H48" s="19"/>
      <c r="I48" s="5"/>
      <c r="J48" s="31"/>
      <c r="K48" s="32"/>
      <c r="L48" s="13"/>
    </row>
    <row r="49" spans="1:12" s="1" customFormat="1" x14ac:dyDescent="0.2">
      <c r="A49" s="14" t="s">
        <v>75</v>
      </c>
      <c r="B49" s="6" t="s">
        <v>28</v>
      </c>
      <c r="C49" s="5">
        <f>C48</f>
        <v>1</v>
      </c>
      <c r="D49" s="5" t="str">
        <f>D48</f>
        <v>Yes</v>
      </c>
      <c r="E49" s="5">
        <v>10</v>
      </c>
      <c r="F49" s="5">
        <f>0.18*2</f>
        <v>0.36</v>
      </c>
      <c r="G49" s="5" t="s">
        <v>101</v>
      </c>
      <c r="H49" s="19">
        <f>(IF(E49="-",1,E49)*IF(F49="-",1,F49)*IF(G49="-",1,G49))</f>
        <v>3.5999999999999996</v>
      </c>
      <c r="I49" s="5" t="s">
        <v>103</v>
      </c>
      <c r="J49" s="31">
        <v>12</v>
      </c>
      <c r="K49" s="32">
        <f>IF(D49="Yes",H49*J49,0)</f>
        <v>43.199999999999996</v>
      </c>
      <c r="L49" s="13"/>
    </row>
    <row r="50" spans="1:12" s="1" customFormat="1" x14ac:dyDescent="0.2">
      <c r="A50" s="14" t="s">
        <v>76</v>
      </c>
      <c r="B50" s="6" t="s">
        <v>27</v>
      </c>
      <c r="C50" s="5">
        <f>C48</f>
        <v>1</v>
      </c>
      <c r="D50" s="5" t="str">
        <f>D48</f>
        <v>Yes</v>
      </c>
      <c r="E50" s="5">
        <v>10</v>
      </c>
      <c r="F50" s="5" t="s">
        <v>101</v>
      </c>
      <c r="G50" s="5">
        <f>0.064108+0.031102/2</f>
        <v>7.9658999999999994E-2</v>
      </c>
      <c r="H50" s="19">
        <f>(IF(E50="-",1,E50)*IF(F50="-",1,F50)*IF(G50="-",1,G50))</f>
        <v>0.79658999999999991</v>
      </c>
      <c r="I50" s="5" t="s">
        <v>102</v>
      </c>
      <c r="J50" s="31">
        <v>2250</v>
      </c>
      <c r="K50" s="32">
        <f>IF(D50="Yes",H50*J50,0)</f>
        <v>1792.3274999999999</v>
      </c>
      <c r="L50" s="13"/>
    </row>
    <row r="51" spans="1:12" ht="30" x14ac:dyDescent="0.2">
      <c r="A51" s="10" t="s">
        <v>89</v>
      </c>
      <c r="B51" s="6" t="s">
        <v>29</v>
      </c>
      <c r="C51" s="5">
        <v>1</v>
      </c>
      <c r="D51" s="5" t="s">
        <v>100</v>
      </c>
      <c r="E51" s="5"/>
      <c r="F51" s="5"/>
      <c r="G51" s="5"/>
      <c r="H51" s="19"/>
      <c r="I51" s="5"/>
      <c r="J51" s="31"/>
      <c r="K51" s="31"/>
      <c r="L51" s="13"/>
    </row>
    <row r="52" spans="1:12" s="1" customFormat="1" x14ac:dyDescent="0.2">
      <c r="A52" s="14" t="s">
        <v>75</v>
      </c>
      <c r="B52" s="6" t="s">
        <v>28</v>
      </c>
      <c r="C52" s="5">
        <f>C51</f>
        <v>1</v>
      </c>
      <c r="D52" s="5" t="str">
        <f>D51</f>
        <v>No</v>
      </c>
      <c r="E52" s="5">
        <v>10</v>
      </c>
      <c r="F52" s="5">
        <f>0.18*2</f>
        <v>0.36</v>
      </c>
      <c r="G52" s="5" t="s">
        <v>101</v>
      </c>
      <c r="H52" s="19">
        <f>(IF(E52="-",1,E52)*IF(F52="-",1,F52)*IF(G52="-",1,G52))</f>
        <v>3.5999999999999996</v>
      </c>
      <c r="I52" s="5" t="s">
        <v>103</v>
      </c>
      <c r="J52" s="31">
        <v>12</v>
      </c>
      <c r="K52" s="32">
        <f>IF(D52="Yes",H52*J52,0)</f>
        <v>0</v>
      </c>
      <c r="L52" s="13"/>
    </row>
    <row r="53" spans="1:12" s="1" customFormat="1" x14ac:dyDescent="0.2">
      <c r="A53" s="14" t="s">
        <v>76</v>
      </c>
      <c r="B53" s="6" t="s">
        <v>27</v>
      </c>
      <c r="C53" s="22">
        <f>C51</f>
        <v>1</v>
      </c>
      <c r="D53" s="22" t="str">
        <f>D51</f>
        <v>No</v>
      </c>
      <c r="E53" s="22">
        <v>10</v>
      </c>
      <c r="F53" s="22" t="s">
        <v>101</v>
      </c>
      <c r="G53" s="22">
        <f>2*0.006953+0.031102/4</f>
        <v>2.1681499999999999E-2</v>
      </c>
      <c r="H53" s="23">
        <f>(IF(E53="-",1,E53)*IF(F53="-",1,F53)*IF(G53="-",1,G53))</f>
        <v>0.21681499999999998</v>
      </c>
      <c r="I53" s="22" t="s">
        <v>102</v>
      </c>
      <c r="J53" s="31">
        <v>2450</v>
      </c>
      <c r="K53" s="32">
        <f>IF(D53="Yes",H53*J53,0)</f>
        <v>0</v>
      </c>
      <c r="L53" s="13"/>
    </row>
    <row r="54" spans="1:12" s="1" customFormat="1" ht="15.75" thickBot="1" x14ac:dyDescent="0.25">
      <c r="A54" s="34"/>
      <c r="B54" s="35"/>
      <c r="C54" s="36"/>
      <c r="D54" s="36"/>
      <c r="E54" s="36"/>
      <c r="F54" s="36"/>
      <c r="G54" s="36"/>
      <c r="H54" s="37"/>
      <c r="I54" s="38"/>
      <c r="J54" s="39" t="s">
        <v>116</v>
      </c>
      <c r="K54" s="40">
        <f>SUM(K43:K53)</f>
        <v>4588.0275000000001</v>
      </c>
      <c r="L54" s="41" t="str">
        <f>TEXT(K54/10,"0.0 ₹")&amp;" Per Mtr"</f>
        <v>458.8 ₹ Per Mtr</v>
      </c>
    </row>
    <row r="55" spans="1:12" s="1" customFormat="1" x14ac:dyDescent="0.2">
      <c r="A55" s="10" t="s">
        <v>90</v>
      </c>
      <c r="B55" s="3" t="s">
        <v>15</v>
      </c>
      <c r="C55" s="9"/>
      <c r="D55" s="4"/>
      <c r="E55" s="4"/>
      <c r="F55" s="4"/>
      <c r="G55" s="4"/>
      <c r="H55" s="4"/>
      <c r="I55" s="4"/>
      <c r="J55" s="4"/>
      <c r="K55" s="4"/>
      <c r="L55" s="11"/>
    </row>
    <row r="56" spans="1:12" s="1" customFormat="1" x14ac:dyDescent="0.2">
      <c r="A56" s="10" t="s">
        <v>91</v>
      </c>
      <c r="B56" s="6" t="s">
        <v>23</v>
      </c>
      <c r="C56" s="7">
        <v>1</v>
      </c>
      <c r="D56" s="5" t="s">
        <v>99</v>
      </c>
      <c r="E56" s="19">
        <v>10</v>
      </c>
      <c r="F56" s="19" t="s">
        <v>101</v>
      </c>
      <c r="G56" s="19">
        <v>1</v>
      </c>
      <c r="H56" s="19">
        <f>(IF(E56="-",1,E56)*IF(F56="-",1,F56)*IF(G56="-",1,G56))</f>
        <v>10</v>
      </c>
      <c r="I56" s="7" t="s">
        <v>102</v>
      </c>
      <c r="J56" s="32">
        <v>80</v>
      </c>
      <c r="K56" s="32">
        <f>IF(D56="Yes",H56*J56,0)</f>
        <v>800</v>
      </c>
      <c r="L56" s="13"/>
    </row>
    <row r="57" spans="1:12" s="1" customFormat="1" ht="33" customHeight="1" x14ac:dyDescent="0.2">
      <c r="A57" s="10" t="s">
        <v>92</v>
      </c>
      <c r="B57" s="6" t="s">
        <v>24</v>
      </c>
      <c r="C57" s="5">
        <v>1</v>
      </c>
      <c r="D57" s="5" t="s">
        <v>99</v>
      </c>
      <c r="E57" s="19">
        <v>10</v>
      </c>
      <c r="F57" s="19" t="s">
        <v>101</v>
      </c>
      <c r="G57" s="19" t="s">
        <v>101</v>
      </c>
      <c r="H57" s="19">
        <f>(IF(E57="-",1,E57)*IF(F57="-",1,F57)*IF(G57="-",1,G57))</f>
        <v>10</v>
      </c>
      <c r="I57" s="5" t="s">
        <v>103</v>
      </c>
      <c r="J57" s="31">
        <v>22</v>
      </c>
      <c r="K57" s="32">
        <f>IF(D57="Yes",H57*J57,0)</f>
        <v>220</v>
      </c>
      <c r="L57" s="13"/>
    </row>
    <row r="58" spans="1:12" s="1" customFormat="1" x14ac:dyDescent="0.2">
      <c r="A58" s="10" t="s">
        <v>125</v>
      </c>
      <c r="B58" s="6" t="s">
        <v>107</v>
      </c>
      <c r="C58" s="5">
        <v>1</v>
      </c>
      <c r="D58" s="5" t="s">
        <v>99</v>
      </c>
      <c r="E58" s="19">
        <v>10</v>
      </c>
      <c r="F58" s="19" t="s">
        <v>101</v>
      </c>
      <c r="G58" s="19" t="s">
        <v>101</v>
      </c>
      <c r="H58" s="19">
        <f>(IF(E58="-",1,E58)*IF(F58="-",1,F58)*IF(G58="-",1,G58))</f>
        <v>10</v>
      </c>
      <c r="I58" s="5" t="s">
        <v>102</v>
      </c>
      <c r="J58" s="31">
        <v>12</v>
      </c>
      <c r="K58" s="32">
        <f>IF(D58="Yes",H58*J58,0)</f>
        <v>120</v>
      </c>
      <c r="L58" s="13"/>
    </row>
    <row r="59" spans="1:12" s="1" customFormat="1" x14ac:dyDescent="0.2">
      <c r="A59" s="10" t="s">
        <v>126</v>
      </c>
      <c r="B59" s="6" t="s">
        <v>25</v>
      </c>
      <c r="C59" s="5">
        <v>1</v>
      </c>
      <c r="D59" s="5" t="s">
        <v>99</v>
      </c>
      <c r="E59" s="19">
        <v>10</v>
      </c>
      <c r="F59" s="19">
        <v>0.55000000000000004</v>
      </c>
      <c r="G59" s="19">
        <v>0.1</v>
      </c>
      <c r="H59" s="19">
        <f>(IF(E59="-",1,E59)*IF(F59="-",1,F59)*IF(G59="-",1,G59))</f>
        <v>0.55000000000000004</v>
      </c>
      <c r="I59" s="5" t="s">
        <v>102</v>
      </c>
      <c r="J59" s="31">
        <v>2250</v>
      </c>
      <c r="K59" s="32">
        <f>IF(D59="Yes",H59*J59,0)</f>
        <v>1237.5</v>
      </c>
      <c r="L59" s="13"/>
    </row>
    <row r="60" spans="1:12" s="1" customFormat="1" x14ac:dyDescent="0.2">
      <c r="A60" s="10" t="s">
        <v>93</v>
      </c>
      <c r="B60" s="6" t="s">
        <v>26</v>
      </c>
      <c r="C60" s="5">
        <v>1</v>
      </c>
      <c r="D60" s="5" t="s">
        <v>99</v>
      </c>
      <c r="E60" s="19">
        <v>10</v>
      </c>
      <c r="F60" s="19" t="s">
        <v>101</v>
      </c>
      <c r="G60" s="19" t="s">
        <v>101</v>
      </c>
      <c r="H60" s="19">
        <f>(IF(E60="-",1,E60)*IF(F60="-",1,F60)*IF(G60="-",1,G60))</f>
        <v>10</v>
      </c>
      <c r="I60" s="5" t="s">
        <v>104</v>
      </c>
      <c r="J60" s="31">
        <v>75</v>
      </c>
      <c r="K60" s="32">
        <f>IF(D60="Yes",H60*J60,0)</f>
        <v>750</v>
      </c>
      <c r="L60" s="13"/>
    </row>
    <row r="61" spans="1:12" s="1" customFormat="1" ht="30" x14ac:dyDescent="0.2">
      <c r="A61" s="10" t="s">
        <v>94</v>
      </c>
      <c r="B61" s="6" t="s">
        <v>30</v>
      </c>
      <c r="C61" s="5">
        <v>1</v>
      </c>
      <c r="D61" s="5" t="s">
        <v>99</v>
      </c>
      <c r="E61" s="5"/>
      <c r="F61" s="5"/>
      <c r="G61" s="5"/>
      <c r="H61" s="19"/>
      <c r="I61" s="5"/>
      <c r="J61" s="31"/>
      <c r="K61" s="32"/>
      <c r="L61" s="13"/>
    </row>
    <row r="62" spans="1:12" s="1" customFormat="1" x14ac:dyDescent="0.2">
      <c r="A62" s="14" t="s">
        <v>75</v>
      </c>
      <c r="B62" s="6" t="s">
        <v>28</v>
      </c>
      <c r="C62" s="5">
        <f>C61</f>
        <v>1</v>
      </c>
      <c r="D62" s="5" t="str">
        <f>D61</f>
        <v>Yes</v>
      </c>
      <c r="E62" s="5">
        <v>10</v>
      </c>
      <c r="F62" s="5">
        <f>0.232*2</f>
        <v>0.46400000000000002</v>
      </c>
      <c r="G62" s="5" t="s">
        <v>101</v>
      </c>
      <c r="H62" s="19">
        <f>(IF(E62="-",1,E62)*IF(F62="-",1,F62)*IF(G62="-",1,G62))</f>
        <v>4.6400000000000006</v>
      </c>
      <c r="I62" s="5" t="s">
        <v>103</v>
      </c>
      <c r="J62" s="31">
        <v>12</v>
      </c>
      <c r="K62" s="32">
        <f>IF(D62="Yes",H62*J62,0)</f>
        <v>55.680000000000007</v>
      </c>
      <c r="L62" s="13"/>
    </row>
    <row r="63" spans="1:12" s="1" customFormat="1" x14ac:dyDescent="0.2">
      <c r="A63" s="14" t="s">
        <v>76</v>
      </c>
      <c r="B63" s="6" t="s">
        <v>27</v>
      </c>
      <c r="C63" s="5">
        <f>C61</f>
        <v>1</v>
      </c>
      <c r="D63" s="5" t="str">
        <f>D61</f>
        <v>Yes</v>
      </c>
      <c r="E63" s="5">
        <v>10</v>
      </c>
      <c r="F63" s="5" t="s">
        <v>101</v>
      </c>
      <c r="G63" s="5">
        <f>0.086671+0.043429/2</f>
        <v>0.1083855</v>
      </c>
      <c r="H63" s="19">
        <f>(IF(E63="-",1,E63)*IF(F63="-",1,F63)*IF(G63="-",1,G63))</f>
        <v>1.083855</v>
      </c>
      <c r="I63" s="5" t="s">
        <v>102</v>
      </c>
      <c r="J63" s="31">
        <v>2250</v>
      </c>
      <c r="K63" s="32">
        <f>IF(D63="Yes",H63*J63,0)</f>
        <v>2438.6737499999999</v>
      </c>
      <c r="L63" s="13"/>
    </row>
    <row r="64" spans="1:12" s="1" customFormat="1" ht="30" x14ac:dyDescent="0.2">
      <c r="A64" s="10" t="s">
        <v>95</v>
      </c>
      <c r="B64" s="6" t="s">
        <v>29</v>
      </c>
      <c r="C64" s="5">
        <v>1</v>
      </c>
      <c r="D64" s="5" t="s">
        <v>100</v>
      </c>
      <c r="E64" s="5"/>
      <c r="F64" s="5"/>
      <c r="G64" s="5"/>
      <c r="H64" s="19"/>
      <c r="I64" s="5"/>
      <c r="J64" s="31"/>
      <c r="K64" s="31"/>
      <c r="L64" s="13"/>
    </row>
    <row r="65" spans="1:12" s="1" customFormat="1" x14ac:dyDescent="0.2">
      <c r="A65" s="14" t="s">
        <v>75</v>
      </c>
      <c r="B65" s="6" t="s">
        <v>28</v>
      </c>
      <c r="C65" s="5">
        <f>C64</f>
        <v>1</v>
      </c>
      <c r="D65" s="5" t="str">
        <f>D64</f>
        <v>No</v>
      </c>
      <c r="E65" s="5">
        <v>10</v>
      </c>
      <c r="F65" s="5">
        <f>0.232*2</f>
        <v>0.46400000000000002</v>
      </c>
      <c r="G65" s="5" t="s">
        <v>101</v>
      </c>
      <c r="H65" s="19">
        <f>(IF(E65="-",1,E65)*IF(F65="-",1,F65)*IF(G65="-",1,G65))</f>
        <v>4.6400000000000006</v>
      </c>
      <c r="I65" s="5" t="s">
        <v>103</v>
      </c>
      <c r="J65" s="31">
        <v>12</v>
      </c>
      <c r="K65" s="32">
        <f>IF(D65="Yes",H65*J65,0)</f>
        <v>0</v>
      </c>
      <c r="L65" s="13"/>
    </row>
    <row r="66" spans="1:12" s="1" customFormat="1" x14ac:dyDescent="0.2">
      <c r="A66" s="14" t="s">
        <v>76</v>
      </c>
      <c r="B66" s="6" t="s">
        <v>27</v>
      </c>
      <c r="C66" s="5">
        <f>C64</f>
        <v>1</v>
      </c>
      <c r="D66" s="5" t="str">
        <f>D64</f>
        <v>No</v>
      </c>
      <c r="E66" s="5">
        <v>10</v>
      </c>
      <c r="F66" s="5" t="s">
        <v>101</v>
      </c>
      <c r="G66" s="5">
        <f>2*0.011551+0.043429/4</f>
        <v>3.3959250000000003E-2</v>
      </c>
      <c r="H66" s="33">
        <f>(IF(E66="-",1,E66)*IF(F66="-",1,F66)*IF(G66="-",1,G66))</f>
        <v>0.33959250000000002</v>
      </c>
      <c r="I66" s="5" t="s">
        <v>102</v>
      </c>
      <c r="J66" s="31">
        <v>2450</v>
      </c>
      <c r="K66" s="31">
        <f>IF(D66="Yes",H66*J66,0)</f>
        <v>0</v>
      </c>
      <c r="L66" s="13"/>
    </row>
    <row r="67" spans="1:12" ht="15.75" thickBot="1" x14ac:dyDescent="0.25">
      <c r="A67" s="52"/>
      <c r="B67" s="53"/>
      <c r="C67" s="54"/>
      <c r="D67" s="54"/>
      <c r="E67" s="54"/>
      <c r="F67" s="54"/>
      <c r="G67" s="54"/>
      <c r="H67" s="55"/>
      <c r="I67" s="56"/>
      <c r="J67" s="57" t="s">
        <v>116</v>
      </c>
      <c r="K67" s="58">
        <f>SUM(K56:K66)</f>
        <v>5621.8537500000002</v>
      </c>
      <c r="L67" s="59" t="str">
        <f>TEXT(K67/10,"0.0 ₹")&amp;" Per Mtr"</f>
        <v>562.2 ₹ Per Mtr</v>
      </c>
    </row>
  </sheetData>
  <printOptions horizontalCentered="1"/>
  <pageMargins left="0.2" right="0.2" top="0.5" bottom="0.25" header="0.25" footer="0.2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Hume_Pipe</vt:lpstr>
      <vt:lpstr>DWC</vt:lpstr>
      <vt:lpstr>Kanausi</vt:lpstr>
      <vt:lpstr>DWC!Print_Area</vt:lpstr>
      <vt:lpstr>Hume_Pipe!Print_Area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2026-01-23T13:01:03Z</dcterms:created>
  <dcterms:modified xsi:type="dcterms:W3CDTF">2026-01-25T11:39:09Z</dcterms:modified>
</cp:coreProperties>
</file>