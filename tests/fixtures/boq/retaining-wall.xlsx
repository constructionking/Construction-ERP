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0"/>
  <workbookPr defaultThemeVersion="124226"/>
  <xr:revisionPtr revIDLastSave="0" documentId="11_83EAAC44266F0BC7C7654D30C9B989CC5FD6B9E4" xr6:coauthVersionLast="47" xr6:coauthVersionMax="47" xr10:uidLastSave="{00000000-0000-0000-0000-000000000000}"/>
  <bookViews>
    <workbookView xWindow="240" yWindow="30" windowWidth="15120" windowHeight="8100" activeTab="4" xr2:uid="{00000000-000D-0000-FFFF-FFFF00000000}"/>
  </bookViews>
  <sheets>
    <sheet name="BOQ_RW_as-Arch" sheetId="1" r:id="rId1"/>
    <sheet name="BOQ_RW_as-Our" sheetId="4" r:id="rId2"/>
    <sheet name="BOQ_RW_as-Tie_Beam" sheetId="5" r:id="rId3"/>
    <sheet name="Wall_Ded_With_RW" sheetId="6" r:id="rId4"/>
    <sheet name="Reduce_Level" sheetId="7" r:id="rId5"/>
  </sheets>
  <externalReferences>
    <externalReference r:id="rId6"/>
  </externalReferences>
  <definedNames>
    <definedName name="_xlnm.Print_Area" localSheetId="3">Wall_Ded_With_RW!$B$1:$J$38</definedName>
    <definedName name="_xlnm.Print_Titles" localSheetId="3">Wall_Ded_With_RW!$1:$2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K5" i="5"/>
  <c r="J5" i="5"/>
  <c r="L5" i="5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2" i="7"/>
  <c r="G2" i="7"/>
  <c r="J22" i="1"/>
  <c r="L22" i="1"/>
  <c r="J21" i="1"/>
  <c r="L21" i="1"/>
  <c r="H16" i="1"/>
  <c r="J16" i="1"/>
  <c r="L16" i="1"/>
  <c r="H15" i="1"/>
  <c r="J15" i="1"/>
  <c r="L15" i="1"/>
  <c r="H12" i="1"/>
  <c r="J12" i="1"/>
  <c r="L12" i="1"/>
  <c r="H8" i="1"/>
  <c r="J8" i="1"/>
  <c r="L8" i="1"/>
  <c r="H5" i="1"/>
  <c r="J5" i="1"/>
  <c r="L5" i="1"/>
  <c r="H8" i="4"/>
  <c r="J8" i="4"/>
  <c r="L8" i="4"/>
  <c r="H5" i="4"/>
  <c r="J5" i="4"/>
  <c r="L5" i="4"/>
  <c r="G4" i="6"/>
  <c r="J4" i="6"/>
  <c r="L4" i="6"/>
  <c r="J38" i="6"/>
  <c r="L37" i="6"/>
  <c r="G5" i="6"/>
  <c r="J5" i="6"/>
  <c r="L5" i="6"/>
  <c r="G7" i="6"/>
  <c r="H7" i="6"/>
  <c r="J7" i="6"/>
  <c r="L7" i="6"/>
  <c r="G8" i="6"/>
  <c r="H8" i="6"/>
  <c r="J8" i="6"/>
  <c r="L8" i="6"/>
  <c r="G10" i="6"/>
  <c r="H10" i="6"/>
  <c r="J10" i="6"/>
  <c r="L10" i="6"/>
  <c r="G12" i="6"/>
  <c r="J12" i="6"/>
  <c r="L12" i="6"/>
  <c r="J15" i="6"/>
  <c r="L15" i="6"/>
  <c r="G16" i="6"/>
  <c r="J16" i="6"/>
  <c r="L16" i="6"/>
  <c r="J18" i="6"/>
  <c r="L18" i="6"/>
  <c r="G19" i="6"/>
  <c r="J19" i="6"/>
  <c r="L19" i="6"/>
  <c r="G23" i="6"/>
  <c r="J23" i="6"/>
  <c r="L23" i="6"/>
  <c r="L24" i="6"/>
  <c r="L25" i="6"/>
  <c r="L26" i="6"/>
  <c r="G30" i="6"/>
  <c r="J30" i="6"/>
  <c r="L30" i="6"/>
  <c r="G31" i="6"/>
  <c r="J31" i="6"/>
  <c r="L31" i="6"/>
  <c r="G32" i="6"/>
  <c r="J32" i="6"/>
  <c r="L32" i="6"/>
  <c r="L38" i="6"/>
  <c r="L39" i="6"/>
  <c r="M29" i="6"/>
  <c r="N29" i="6"/>
  <c r="O29" i="6"/>
  <c r="P29" i="6"/>
  <c r="J20" i="6"/>
  <c r="J17" i="6"/>
  <c r="J11" i="6"/>
  <c r="G26" i="6"/>
  <c r="J13" i="6"/>
  <c r="G24" i="6"/>
  <c r="J27" i="6"/>
  <c r="G25" i="6"/>
  <c r="J9" i="6"/>
  <c r="J6" i="6"/>
  <c r="J27" i="4"/>
  <c r="J28" i="4"/>
  <c r="I23" i="4"/>
  <c r="J23" i="4"/>
  <c r="J22" i="4"/>
  <c r="J21" i="4"/>
  <c r="H16" i="4"/>
  <c r="J16" i="4"/>
  <c r="H15" i="4"/>
  <c r="J15" i="4"/>
  <c r="H12" i="4"/>
  <c r="J12" i="4"/>
  <c r="H12" i="5"/>
  <c r="J12" i="5"/>
  <c r="J13" i="5"/>
  <c r="K13" i="5"/>
  <c r="K6" i="5"/>
  <c r="J6" i="5"/>
  <c r="I19" i="5"/>
  <c r="J19" i="5"/>
  <c r="I18" i="5"/>
  <c r="J18" i="5"/>
  <c r="J10" i="5"/>
  <c r="L23" i="4"/>
  <c r="L22" i="4"/>
  <c r="J25" i="4"/>
  <c r="L16" i="4"/>
  <c r="J18" i="4"/>
  <c r="J14" i="4"/>
  <c r="L12" i="4"/>
  <c r="J7" i="4"/>
  <c r="J27" i="1"/>
  <c r="J28" i="1"/>
  <c r="I23" i="1"/>
  <c r="J23" i="1"/>
  <c r="L23" i="1"/>
  <c r="J10" i="1"/>
  <c r="J7" i="1"/>
  <c r="L6" i="5"/>
  <c r="L27" i="1"/>
  <c r="L27" i="4"/>
  <c r="L18" i="5"/>
  <c r="L13" i="5"/>
  <c r="L19" i="5"/>
  <c r="J21" i="5"/>
  <c r="J8" i="5"/>
  <c r="L12" i="5"/>
  <c r="J15" i="5"/>
  <c r="J10" i="4"/>
  <c r="L15" i="4"/>
  <c r="L21" i="4"/>
  <c r="J25" i="1"/>
  <c r="J14" i="1"/>
  <c r="L28" i="1"/>
  <c r="L29" i="1"/>
  <c r="L28" i="4"/>
  <c r="L29" i="4"/>
  <c r="J18" i="1"/>
  <c r="J23" i="5"/>
  <c r="L23" i="5"/>
  <c r="J24" i="5"/>
  <c r="L25" i="5"/>
</calcChain>
</file>

<file path=xl/sharedStrings.xml><?xml version="1.0" encoding="utf-8"?>
<sst xmlns="http://schemas.openxmlformats.org/spreadsheetml/2006/main" count="231" uniqueCount="90">
  <si>
    <t>Sr. No.</t>
  </si>
  <si>
    <t>Description</t>
  </si>
  <si>
    <t>UOM</t>
  </si>
  <si>
    <t>NOS</t>
  </si>
  <si>
    <t>length</t>
  </si>
  <si>
    <t>Width</t>
  </si>
  <si>
    <t>Height/Depth</t>
  </si>
  <si>
    <t>Quantity</t>
  </si>
  <si>
    <t>EXCAVATION/SOIL-WORK</t>
  </si>
  <si>
    <t>1.1.1</t>
  </si>
  <si>
    <t>Excavation  of  Columun footing with machnical equipment upto 1.2 meter depth in all respect size ( 1175~1200X1550)</t>
  </si>
  <si>
    <t>CUM</t>
  </si>
  <si>
    <t>1.1.2</t>
  </si>
  <si>
    <t>Excavation of wall BW below Plinth Level .8 Mtr. Wide where there is no footing</t>
  </si>
  <si>
    <t>Total Excvation in CUM</t>
  </si>
  <si>
    <t>1.2.1</t>
  </si>
  <si>
    <t>Dressing with Compcation with pounder of  Columun footing with machnical equipment upto 1.2 meter depth in all respect size ( 1075~1100X1450)</t>
  </si>
  <si>
    <t>SQM</t>
  </si>
  <si>
    <t>1.2.2</t>
  </si>
  <si>
    <t>Dressing with Compcation with pounder of wall BW below Plinth Level .7 Mtr. Wide where there is no footing</t>
  </si>
  <si>
    <t>Total Dressing and Compaction in SQM</t>
  </si>
  <si>
    <t>1.3.1</t>
  </si>
  <si>
    <t>Back Filling of Column Footing for wall BW where there is footing Lump Sump</t>
  </si>
  <si>
    <t>Total Filling and Compaction in CUM</t>
  </si>
  <si>
    <t>1.4.1</t>
  </si>
  <si>
    <t xml:space="preserve">Back Filling of wall BW both Side upto NGL Lump Sump </t>
  </si>
  <si>
    <t>Total Filling in CUM</t>
  </si>
  <si>
    <t>CONCRETE</t>
  </si>
  <si>
    <t>2.1.1</t>
  </si>
  <si>
    <t>Making/Mixing and laying PCC of Columun footing with M10(1:4:8) size ( 975*1350)</t>
  </si>
  <si>
    <t>2.1.2</t>
  </si>
  <si>
    <t>Making/Mixing and laying PCC of Wall footing with M10(1:4:8)</t>
  </si>
  <si>
    <t>Total Concrete of M10 PCC in CUM</t>
  </si>
  <si>
    <t>2.2.1</t>
  </si>
  <si>
    <t>Making/Mixing  and laying Columun Footing Concrete with M20</t>
  </si>
  <si>
    <t>2.2.3</t>
  </si>
  <si>
    <t>2.2.5</t>
  </si>
  <si>
    <t>Making/Mixing  and laying Top Band/beam Concrete with M20</t>
  </si>
  <si>
    <t>Total Concrete M20 in CUM</t>
  </si>
  <si>
    <t>SHUTTERING</t>
  </si>
  <si>
    <t>Providing  and Fixing-Removing Shuttring with all Material, Fitting(Nails,Wire, Oil)</t>
  </si>
  <si>
    <t>3.1.1</t>
  </si>
  <si>
    <t>for Column footing PCC</t>
  </si>
  <si>
    <t>3.1.2</t>
  </si>
  <si>
    <t>for wall PCC</t>
  </si>
  <si>
    <t>3.1.3</t>
  </si>
  <si>
    <t>for column footing</t>
  </si>
  <si>
    <t>3.1.5</t>
  </si>
  <si>
    <t>3.1.7</t>
  </si>
  <si>
    <t>Total Shuttring in SQM</t>
  </si>
  <si>
    <t>BRICKWORK ALIGN WITH ROAD AND PARK</t>
  </si>
  <si>
    <t>Doing brickwork with first class bricks with (1:6) cement and coarse sand mortar in all respect Equal or More than 230 mm Thk.</t>
  </si>
  <si>
    <t>4.1.1</t>
  </si>
  <si>
    <t>In foundation Two Brick Coarse</t>
  </si>
  <si>
    <t>4.1.2</t>
  </si>
  <si>
    <t>In foundation One and Half Brick Coarse</t>
  </si>
  <si>
    <t>4.1.3</t>
  </si>
  <si>
    <t>In foundation One Brick Coarse upto plinth Beam Bottom</t>
  </si>
  <si>
    <t>Total BW Above 230 mm Thk Wall in CUM</t>
  </si>
  <si>
    <t>Total BW of 115 mm Thk Wall in CUM</t>
  </si>
  <si>
    <t>PLASTER For Both side nitchs</t>
  </si>
  <si>
    <t>Steel in Footing+Column+Plinth-Band+Top-Band</t>
  </si>
  <si>
    <t>footing+ column+ beam</t>
  </si>
  <si>
    <t>KG</t>
  </si>
  <si>
    <t>Total Steel in KG</t>
  </si>
  <si>
    <t>Excavation  of  Wall footing with machnical equipment upto 1.2 meter depth in all respect</t>
  </si>
  <si>
    <t>Dressing with Compcation with pounder of  Wall footing Base</t>
  </si>
  <si>
    <t>Making/Mixing  and laying Wall Footing Concrete with M20</t>
  </si>
  <si>
    <t>Making/Mixing and laying Column Concrete with M30 till R.L. Level</t>
  </si>
  <si>
    <t>for Wall footing PCC</t>
  </si>
  <si>
    <t>for Wall footing</t>
  </si>
  <si>
    <t>for Wall</t>
  </si>
  <si>
    <t>for Beam</t>
  </si>
  <si>
    <t>for Column</t>
  </si>
  <si>
    <t>Making/Mixing  and laying Beam Concrete with M20</t>
  </si>
  <si>
    <t>Making/Mixing and laying Column Concrete with M20 till R.L. Level</t>
  </si>
  <si>
    <t>Filling</t>
  </si>
  <si>
    <t>Steel in Column+Beam Bellow RL</t>
  </si>
  <si>
    <t>for Plinth beam</t>
  </si>
  <si>
    <t>Rate</t>
  </si>
  <si>
    <t>Amount</t>
  </si>
  <si>
    <t>Total</t>
  </si>
  <si>
    <t>BoQ For Deduction Amount Boundary Wall as RW Design 6.7 Mtr</t>
  </si>
  <si>
    <t>BoQ For Boundary Wall RW as Arch Design 11.4 Mtr</t>
  </si>
  <si>
    <t>BoQ For Boundary Wall RW as Our Design 11.4 Mtr</t>
  </si>
  <si>
    <t>BoQ For Boundary Wall as Column &amp; Tie Beam Design 11.4 Mtr</t>
  </si>
  <si>
    <t>Reading</t>
  </si>
  <si>
    <t>BS</t>
  </si>
  <si>
    <t>RL</t>
  </si>
  <si>
    <t xml:space="preserve">Depth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</si>
</sst>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sz val="11"/>
      <name val="Calibri"/>
      <family val="1"/>
    </font>
    <font>
      <sz val="11"/>
      <color rgb="FF000000"/>
      <name val="Calibri"/>
      <family val="2"/>
    </font>
    <font>
      <sz val="11"/>
      <name val="Calibri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4"/>
      <color rgb="FF000000"/>
      <name val="Aptos Narrow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4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7" fillId="0" borderId="13" xfId="0" applyFont="1" applyBorder="1" applyAlignment="1">
      <alignment horizontal="right"/>
    </xf>
    <xf numFmtId="0" fontId="3" fillId="0" borderId="8" xfId="0" applyFont="1" applyBorder="1" applyAlignment="1">
      <alignment wrapText="1"/>
    </xf>
    <xf numFmtId="164" fontId="4" fillId="0" borderId="10" xfId="0" applyNumberFormat="1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0" fontId="3" fillId="0" borderId="7" xfId="0" applyFont="1" applyFill="1" applyBorder="1" applyAlignment="1"/>
    <xf numFmtId="0" fontId="3" fillId="0" borderId="8" xfId="0" applyFont="1" applyFill="1" applyBorder="1" applyAlignment="1"/>
    <xf numFmtId="0" fontId="3" fillId="0" borderId="9" xfId="0" applyFont="1" applyFill="1" applyBorder="1" applyAlignment="1"/>
    <xf numFmtId="0" fontId="4" fillId="0" borderId="10" xfId="0" applyFont="1" applyFill="1" applyBorder="1" applyAlignment="1">
      <alignment wrapText="1"/>
    </xf>
    <xf numFmtId="0" fontId="5" fillId="0" borderId="11" xfId="0" applyFont="1" applyFill="1" applyBorder="1" applyAlignment="1">
      <alignment wrapText="1"/>
    </xf>
    <xf numFmtId="0" fontId="4" fillId="0" borderId="11" xfId="0" applyFont="1" applyFill="1" applyBorder="1" applyAlignment="1">
      <alignment wrapText="1"/>
    </xf>
    <xf numFmtId="0" fontId="4" fillId="0" borderId="12" xfId="0" applyFont="1" applyFill="1" applyBorder="1" applyAlignment="1">
      <alignment wrapText="1"/>
    </xf>
    <xf numFmtId="0" fontId="6" fillId="0" borderId="7" xfId="0" applyFont="1" applyFill="1" applyBorder="1" applyAlignment="1">
      <alignment wrapText="1"/>
    </xf>
    <xf numFmtId="0" fontId="6" fillId="0" borderId="8" xfId="0" applyFont="1" applyFill="1" applyBorder="1" applyAlignment="1">
      <alignment wrapText="1"/>
    </xf>
    <xf numFmtId="0" fontId="7" fillId="0" borderId="13" xfId="0" applyFont="1" applyFill="1" applyBorder="1" applyAlignment="1">
      <alignment horizontal="right"/>
    </xf>
    <xf numFmtId="0" fontId="8" fillId="0" borderId="9" xfId="0" applyFont="1" applyFill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3" fillId="0" borderId="9" xfId="0" applyFont="1" applyFill="1" applyBorder="1" applyAlignment="1">
      <alignment wrapText="1"/>
    </xf>
    <xf numFmtId="164" fontId="4" fillId="0" borderId="10" xfId="0" applyNumberFormat="1" applyFont="1" applyFill="1" applyBorder="1" applyAlignment="1">
      <alignment wrapText="1"/>
    </xf>
    <xf numFmtId="0" fontId="5" fillId="0" borderId="14" xfId="0" applyFont="1" applyFill="1" applyBorder="1" applyAlignment="1">
      <alignment wrapText="1"/>
    </xf>
    <xf numFmtId="0" fontId="5" fillId="0" borderId="15" xfId="0" applyFont="1" applyFill="1" applyBorder="1" applyAlignment="1">
      <alignment wrapText="1"/>
    </xf>
    <xf numFmtId="0" fontId="4" fillId="0" borderId="8" xfId="0" applyFont="1" applyFill="1" applyBorder="1" applyAlignment="1">
      <alignment wrapText="1"/>
    </xf>
    <xf numFmtId="0" fontId="4" fillId="0" borderId="9" xfId="0" applyFont="1" applyFill="1" applyBorder="1" applyAlignment="1">
      <alignment wrapText="1"/>
    </xf>
    <xf numFmtId="0" fontId="5" fillId="0" borderId="16" xfId="0" applyFont="1" applyFill="1" applyBorder="1" applyAlignment="1">
      <alignment wrapText="1"/>
    </xf>
    <xf numFmtId="0" fontId="4" fillId="0" borderId="16" xfId="0" applyFont="1" applyFill="1" applyBorder="1" applyAlignment="1">
      <alignment wrapText="1"/>
    </xf>
    <xf numFmtId="0" fontId="4" fillId="0" borderId="17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0" fontId="6" fillId="0" borderId="18" xfId="0" applyFont="1" applyFill="1" applyBorder="1" applyAlignment="1">
      <alignment wrapText="1"/>
    </xf>
    <xf numFmtId="0" fontId="6" fillId="0" borderId="19" xfId="0" applyFont="1" applyFill="1" applyBorder="1" applyAlignment="1">
      <alignment wrapText="1"/>
    </xf>
    <xf numFmtId="0" fontId="7" fillId="0" borderId="20" xfId="0" applyFont="1" applyFill="1" applyBorder="1" applyAlignment="1">
      <alignment horizontal="right"/>
    </xf>
    <xf numFmtId="0" fontId="8" fillId="0" borderId="21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4" fillId="0" borderId="13" xfId="0" applyFont="1" applyFill="1" applyBorder="1" applyAlignment="1">
      <alignment wrapText="1"/>
    </xf>
    <xf numFmtId="1" fontId="4" fillId="0" borderId="6" xfId="0" applyNumberFormat="1" applyFont="1" applyBorder="1" applyAlignment="1">
      <alignment wrapText="1"/>
    </xf>
    <xf numFmtId="2" fontId="4" fillId="0" borderId="6" xfId="0" applyNumberFormat="1" applyFont="1" applyBorder="1" applyAlignment="1">
      <alignment wrapText="1"/>
    </xf>
    <xf numFmtId="2" fontId="8" fillId="0" borderId="9" xfId="0" applyNumberFormat="1" applyFont="1" applyBorder="1" applyAlignment="1">
      <alignment wrapText="1"/>
    </xf>
    <xf numFmtId="2" fontId="3" fillId="0" borderId="6" xfId="0" applyNumberFormat="1" applyFont="1" applyBorder="1" applyAlignment="1">
      <alignment wrapText="1"/>
    </xf>
    <xf numFmtId="2" fontId="3" fillId="0" borderId="9" xfId="0" applyNumberFormat="1" applyFont="1" applyBorder="1" applyAlignment="1"/>
    <xf numFmtId="2" fontId="4" fillId="0" borderId="12" xfId="0" applyNumberFormat="1" applyFont="1" applyBorder="1" applyAlignment="1">
      <alignment wrapText="1"/>
    </xf>
    <xf numFmtId="2" fontId="3" fillId="0" borderId="9" xfId="0" applyNumberFormat="1" applyFont="1" applyBorder="1" applyAlignment="1">
      <alignment wrapText="1"/>
    </xf>
    <xf numFmtId="2" fontId="4" fillId="0" borderId="9" xfId="0" applyNumberFormat="1" applyFont="1" applyBorder="1" applyAlignment="1">
      <alignment wrapText="1"/>
    </xf>
    <xf numFmtId="2" fontId="4" fillId="0" borderId="17" xfId="0" applyNumberFormat="1" applyFont="1" applyBorder="1" applyAlignment="1">
      <alignment wrapText="1"/>
    </xf>
    <xf numFmtId="2" fontId="0" fillId="0" borderId="0" xfId="0" applyNumberFormat="1"/>
    <xf numFmtId="0" fontId="4" fillId="0" borderId="24" xfId="0" applyFont="1" applyFill="1" applyBorder="1" applyAlignment="1">
      <alignment wrapText="1"/>
    </xf>
    <xf numFmtId="0" fontId="0" fillId="0" borderId="24" xfId="0" applyBorder="1"/>
    <xf numFmtId="0" fontId="4" fillId="0" borderId="7" xfId="0" applyFont="1" applyFill="1" applyBorder="1" applyAlignment="1">
      <alignment wrapText="1"/>
    </xf>
    <xf numFmtId="0" fontId="4" fillId="0" borderId="25" xfId="0" applyFont="1" applyFill="1" applyBorder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" fillId="0" borderId="23" xfId="0" applyFont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" fillId="0" borderId="32" xfId="0" applyFont="1" applyBorder="1"/>
    <xf numFmtId="0" fontId="6" fillId="0" borderId="37" xfId="0" applyFont="1" applyBorder="1" applyAlignment="1">
      <alignment wrapText="1"/>
    </xf>
    <xf numFmtId="0" fontId="6" fillId="0" borderId="22" xfId="0" applyFont="1" applyBorder="1" applyAlignment="1">
      <alignment wrapText="1"/>
    </xf>
    <xf numFmtId="0" fontId="7" fillId="0" borderId="38" xfId="0" applyFont="1" applyBorder="1" applyAlignment="1">
      <alignment horizontal="right"/>
    </xf>
    <xf numFmtId="0" fontId="8" fillId="0" borderId="39" xfId="0" applyFont="1" applyBorder="1" applyAlignment="1">
      <alignment wrapText="1"/>
    </xf>
    <xf numFmtId="0" fontId="0" fillId="0" borderId="31" xfId="0" applyBorder="1"/>
    <xf numFmtId="0" fontId="0" fillId="0" borderId="40" xfId="0" applyBorder="1"/>
    <xf numFmtId="0" fontId="0" fillId="0" borderId="41" xfId="0" applyBorder="1"/>
    <xf numFmtId="2" fontId="8" fillId="0" borderId="39" xfId="0" applyNumberFormat="1" applyFont="1" applyBorder="1" applyAlignment="1">
      <alignment wrapText="1"/>
    </xf>
    <xf numFmtId="2" fontId="0" fillId="0" borderId="40" xfId="0" applyNumberFormat="1" applyBorder="1"/>
    <xf numFmtId="0" fontId="0" fillId="0" borderId="23" xfId="0" applyBorder="1"/>
    <xf numFmtId="2" fontId="4" fillId="0" borderId="25" xfId="0" applyNumberFormat="1" applyFont="1" applyFill="1" applyBorder="1" applyAlignment="1">
      <alignment wrapText="1"/>
    </xf>
    <xf numFmtId="2" fontId="0" fillId="0" borderId="24" xfId="0" applyNumberFormat="1" applyBorder="1"/>
    <xf numFmtId="0" fontId="10" fillId="0" borderId="1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1">
    <dxf>
      <numFmt numFmtId="165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rishna_HSV/BBS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el_RW_Deep-Area_as-Arch"/>
      <sheetName val="Steel_RW_Deep-Area_as-Our"/>
      <sheetName val="Steel_RW_Deep-Area_as-Tie_beam"/>
      <sheetName val="Sheet()"/>
    </sheetNames>
    <sheetDataSet>
      <sheetData sheetId="0">
        <row r="8">
          <cell r="AD8">
            <v>10245.59</v>
          </cell>
        </row>
      </sheetData>
      <sheetData sheetId="1">
        <row r="8">
          <cell r="AD8">
            <v>4798.0169999999998</v>
          </cell>
        </row>
      </sheetData>
      <sheetData sheetId="2">
        <row r="8">
          <cell r="AD8">
            <v>617.74099999999999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9"/>
  <sheetViews>
    <sheetView topLeftCell="A15" workbookViewId="0">
      <selection activeCell="L29" sqref="L29"/>
    </sheetView>
  </sheetViews>
  <sheetFormatPr defaultRowHeight="15" x14ac:dyDescent="0.2"/>
  <cols>
    <col min="3" max="3" width="43.44921875" customWidth="1"/>
    <col min="10" max="10" width="11.56640625" bestFit="1" customWidth="1"/>
  </cols>
  <sheetData>
    <row r="1" spans="2:12" ht="15.75" thickBot="1" x14ac:dyDescent="0.25"/>
    <row r="2" spans="2:12" ht="18.75" x14ac:dyDescent="0.25">
      <c r="B2" s="93" t="s">
        <v>83</v>
      </c>
      <c r="C2" s="94"/>
      <c r="D2" s="94"/>
      <c r="E2" s="94"/>
      <c r="F2" s="94"/>
      <c r="G2" s="94"/>
      <c r="H2" s="94"/>
      <c r="I2" s="94"/>
      <c r="J2" s="95"/>
      <c r="K2" s="70"/>
      <c r="L2" s="71"/>
    </row>
    <row r="3" spans="2:12" ht="27.75" x14ac:dyDescent="0.2">
      <c r="B3" s="24" t="s">
        <v>0</v>
      </c>
      <c r="C3" s="25" t="s">
        <v>1</v>
      </c>
      <c r="D3" s="25" t="s">
        <v>2</v>
      </c>
      <c r="E3" s="25" t="s">
        <v>3</v>
      </c>
      <c r="F3" s="25" t="s">
        <v>3</v>
      </c>
      <c r="G3" s="25" t="s">
        <v>4</v>
      </c>
      <c r="H3" s="25" t="s">
        <v>5</v>
      </c>
      <c r="I3" s="25" t="s">
        <v>6</v>
      </c>
      <c r="J3" s="26" t="s">
        <v>7</v>
      </c>
      <c r="K3" s="26" t="s">
        <v>79</v>
      </c>
      <c r="L3" s="26" t="s">
        <v>80</v>
      </c>
    </row>
    <row r="4" spans="2:12" ht="15.75" thickBot="1" x14ac:dyDescent="0.25">
      <c r="B4" s="27" t="s">
        <v>8</v>
      </c>
      <c r="C4" s="28"/>
      <c r="D4" s="28"/>
      <c r="E4" s="28"/>
      <c r="F4" s="28"/>
      <c r="G4" s="28"/>
      <c r="H4" s="28"/>
      <c r="I4" s="28"/>
      <c r="J4" s="29"/>
      <c r="K4" s="72"/>
      <c r="L4" s="73"/>
    </row>
    <row r="5" spans="2:12" ht="27.75" x14ac:dyDescent="0.2">
      <c r="B5" s="30" t="s">
        <v>9</v>
      </c>
      <c r="C5" s="31" t="s">
        <v>65</v>
      </c>
      <c r="D5" s="31" t="s">
        <v>11</v>
      </c>
      <c r="E5" s="32">
        <v>1</v>
      </c>
      <c r="F5" s="32">
        <v>1</v>
      </c>
      <c r="G5" s="32">
        <v>11.4</v>
      </c>
      <c r="H5" s="32">
        <f>4.5+0.85+0.25*2</f>
        <v>5.85</v>
      </c>
      <c r="I5" s="32">
        <v>1.2</v>
      </c>
      <c r="J5" s="33">
        <f>E5*F5*G5*H5*I5</f>
        <v>80.027999999999992</v>
      </c>
      <c r="K5" s="69">
        <v>80</v>
      </c>
      <c r="L5" s="78">
        <f>J5*K5</f>
        <v>6402.24</v>
      </c>
    </row>
    <row r="6" spans="2:12" ht="5.25" customHeight="1" x14ac:dyDescent="0.2">
      <c r="B6" s="68"/>
      <c r="C6" s="54"/>
      <c r="D6" s="54"/>
      <c r="E6" s="43"/>
      <c r="F6" s="43"/>
      <c r="G6" s="43"/>
      <c r="H6" s="43"/>
      <c r="I6" s="43"/>
      <c r="J6" s="55"/>
      <c r="K6" s="67"/>
      <c r="L6" s="79"/>
    </row>
    <row r="7" spans="2:12" x14ac:dyDescent="0.2">
      <c r="B7" s="50"/>
      <c r="C7" s="51"/>
      <c r="D7" s="51"/>
      <c r="E7" s="51"/>
      <c r="F7" s="51"/>
      <c r="G7" s="51"/>
      <c r="H7" s="51"/>
      <c r="I7" s="52" t="s">
        <v>14</v>
      </c>
      <c r="J7" s="53">
        <f>SUM(J5:J6)</f>
        <v>80.027999999999992</v>
      </c>
      <c r="K7" s="67"/>
      <c r="L7" s="79"/>
    </row>
    <row r="8" spans="2:12" ht="27.75" x14ac:dyDescent="0.2">
      <c r="B8" s="30" t="s">
        <v>15</v>
      </c>
      <c r="C8" s="31" t="s">
        <v>66</v>
      </c>
      <c r="D8" s="31" t="s">
        <v>17</v>
      </c>
      <c r="E8" s="32">
        <v>1</v>
      </c>
      <c r="F8" s="32">
        <v>1</v>
      </c>
      <c r="G8" s="32">
        <v>11.4</v>
      </c>
      <c r="H8" s="32">
        <f>4.5+0.85+0.15*2</f>
        <v>5.6499999999999995</v>
      </c>
      <c r="I8" s="32"/>
      <c r="J8" s="33">
        <f>E8*F8*G8*H8</f>
        <v>64.41</v>
      </c>
      <c r="K8" s="67">
        <v>15</v>
      </c>
      <c r="L8" s="79">
        <f>J8*K8</f>
        <v>966.15</v>
      </c>
    </row>
    <row r="9" spans="2:12" ht="5.25" customHeight="1" x14ac:dyDescent="0.2">
      <c r="B9" s="68"/>
      <c r="C9" s="54"/>
      <c r="D9" s="54"/>
      <c r="E9" s="43"/>
      <c r="F9" s="43"/>
      <c r="G9" s="43"/>
      <c r="H9" s="43"/>
      <c r="I9" s="43"/>
      <c r="J9" s="55"/>
      <c r="K9" s="69"/>
      <c r="L9" s="78"/>
    </row>
    <row r="10" spans="2:12" x14ac:dyDescent="0.2">
      <c r="B10" s="34"/>
      <c r="C10" s="35"/>
      <c r="D10" s="35"/>
      <c r="E10" s="35"/>
      <c r="F10" s="35"/>
      <c r="G10" s="35"/>
      <c r="H10" s="35"/>
      <c r="I10" s="36" t="s">
        <v>20</v>
      </c>
      <c r="J10" s="37">
        <f>SUM(J8:J9)</f>
        <v>64.41</v>
      </c>
      <c r="K10" s="67"/>
      <c r="L10" s="79"/>
    </row>
    <row r="11" spans="2:12" x14ac:dyDescent="0.2">
      <c r="B11" s="27" t="s">
        <v>27</v>
      </c>
      <c r="C11" s="38"/>
      <c r="D11" s="38"/>
      <c r="E11" s="38"/>
      <c r="F11" s="38"/>
      <c r="G11" s="38"/>
      <c r="H11" s="38"/>
      <c r="I11" s="38"/>
      <c r="J11" s="39"/>
      <c r="K11" s="67"/>
      <c r="L11" s="79"/>
    </row>
    <row r="12" spans="2:12" ht="27.75" x14ac:dyDescent="0.2">
      <c r="B12" s="30" t="s">
        <v>28</v>
      </c>
      <c r="C12" s="31" t="s">
        <v>31</v>
      </c>
      <c r="D12" s="31" t="s">
        <v>11</v>
      </c>
      <c r="E12" s="32">
        <v>1</v>
      </c>
      <c r="F12" s="32">
        <v>1</v>
      </c>
      <c r="G12" s="32">
        <v>11.4</v>
      </c>
      <c r="H12" s="32">
        <f>4.5+0.85+0.075*2</f>
        <v>5.5</v>
      </c>
      <c r="I12" s="32">
        <v>0.1</v>
      </c>
      <c r="J12" s="33">
        <f>E12*F12*G12*H12*I12</f>
        <v>6.2700000000000005</v>
      </c>
      <c r="K12" s="67">
        <v>5200</v>
      </c>
      <c r="L12" s="79">
        <f>J12*K12</f>
        <v>32604.000000000004</v>
      </c>
    </row>
    <row r="13" spans="2:12" ht="6" customHeight="1" x14ac:dyDescent="0.2">
      <c r="B13" s="68"/>
      <c r="C13" s="54"/>
      <c r="D13" s="54"/>
      <c r="E13" s="43"/>
      <c r="F13" s="43"/>
      <c r="G13" s="43"/>
      <c r="H13" s="43"/>
      <c r="I13" s="43"/>
      <c r="J13" s="55"/>
      <c r="K13" s="69"/>
      <c r="L13" s="78"/>
    </row>
    <row r="14" spans="2:12" x14ac:dyDescent="0.2">
      <c r="B14" s="34"/>
      <c r="C14" s="35"/>
      <c r="D14" s="35"/>
      <c r="E14" s="35"/>
      <c r="F14" s="35"/>
      <c r="G14" s="35"/>
      <c r="H14" s="35"/>
      <c r="I14" s="36" t="s">
        <v>32</v>
      </c>
      <c r="J14" s="37">
        <f>SUM(J12:J13)</f>
        <v>6.2700000000000005</v>
      </c>
      <c r="K14" s="67"/>
      <c r="L14" s="79"/>
    </row>
    <row r="15" spans="2:12" ht="27.75" x14ac:dyDescent="0.2">
      <c r="B15" s="30" t="s">
        <v>33</v>
      </c>
      <c r="C15" s="31" t="s">
        <v>67</v>
      </c>
      <c r="D15" s="31" t="s">
        <v>11</v>
      </c>
      <c r="E15" s="32">
        <v>1</v>
      </c>
      <c r="F15" s="32">
        <v>1</v>
      </c>
      <c r="G15" s="32">
        <v>11.4</v>
      </c>
      <c r="H15" s="32">
        <f>4.5+0.85+0*2</f>
        <v>5.35</v>
      </c>
      <c r="I15" s="32">
        <v>0.65</v>
      </c>
      <c r="J15" s="33">
        <f>E15*F15*G15*H15*I15</f>
        <v>39.643499999999996</v>
      </c>
      <c r="K15" s="67">
        <v>5800</v>
      </c>
      <c r="L15" s="79">
        <f>J15*K15</f>
        <v>229932.3</v>
      </c>
    </row>
    <row r="16" spans="2:12" ht="27.75" x14ac:dyDescent="0.2">
      <c r="B16" s="30" t="s">
        <v>35</v>
      </c>
      <c r="C16" s="31" t="s">
        <v>68</v>
      </c>
      <c r="D16" s="31" t="s">
        <v>11</v>
      </c>
      <c r="E16" s="32">
        <v>1</v>
      </c>
      <c r="F16" s="32">
        <v>1</v>
      </c>
      <c r="G16" s="32">
        <v>11.4</v>
      </c>
      <c r="H16" s="32">
        <f>(0.85+0.23)/2</f>
        <v>0.54</v>
      </c>
      <c r="I16" s="32">
        <v>6.5</v>
      </c>
      <c r="J16" s="33">
        <f t="shared" ref="J16" si="0">E16*F16*G16*H16*I16</f>
        <v>40.014000000000003</v>
      </c>
      <c r="K16" s="67">
        <v>6200</v>
      </c>
      <c r="L16" s="79">
        <f>J16*K16</f>
        <v>248086.80000000002</v>
      </c>
    </row>
    <row r="17" spans="2:12" ht="5.25" customHeight="1" x14ac:dyDescent="0.2">
      <c r="B17" s="68"/>
      <c r="C17" s="54"/>
      <c r="D17" s="54"/>
      <c r="E17" s="43"/>
      <c r="F17" s="43"/>
      <c r="G17" s="43"/>
      <c r="H17" s="43"/>
      <c r="I17" s="43"/>
      <c r="J17" s="55"/>
      <c r="K17" s="69"/>
      <c r="L17" s="78"/>
    </row>
    <row r="18" spans="2:12" x14ac:dyDescent="0.2">
      <c r="B18" s="34"/>
      <c r="C18" s="35"/>
      <c r="D18" s="35"/>
      <c r="E18" s="35"/>
      <c r="F18" s="35"/>
      <c r="G18" s="35"/>
      <c r="H18" s="35"/>
      <c r="I18" s="36" t="s">
        <v>38</v>
      </c>
      <c r="J18" s="37">
        <f>SUM(J15:J17)</f>
        <v>79.657499999999999</v>
      </c>
      <c r="K18" s="67"/>
      <c r="L18" s="79"/>
    </row>
    <row r="19" spans="2:12" x14ac:dyDescent="0.2">
      <c r="B19" s="27" t="s">
        <v>39</v>
      </c>
      <c r="C19" s="38"/>
      <c r="D19" s="38"/>
      <c r="E19" s="38"/>
      <c r="F19" s="38"/>
      <c r="G19" s="38"/>
      <c r="H19" s="38"/>
      <c r="I19" s="38"/>
      <c r="J19" s="39"/>
      <c r="K19" s="67"/>
      <c r="L19" s="79"/>
    </row>
    <row r="20" spans="2:12" ht="27.75" x14ac:dyDescent="0.2">
      <c r="B20" s="40">
        <v>3.1</v>
      </c>
      <c r="C20" s="41" t="s">
        <v>40</v>
      </c>
      <c r="D20" s="42"/>
      <c r="E20" s="43"/>
      <c r="F20" s="43"/>
      <c r="G20" s="43"/>
      <c r="H20" s="43"/>
      <c r="I20" s="43"/>
      <c r="J20" s="44"/>
      <c r="K20" s="67"/>
      <c r="L20" s="79"/>
    </row>
    <row r="21" spans="2:12" x14ac:dyDescent="0.2">
      <c r="B21" s="40" t="s">
        <v>41</v>
      </c>
      <c r="C21" s="31" t="s">
        <v>69</v>
      </c>
      <c r="D21" s="45" t="s">
        <v>17</v>
      </c>
      <c r="E21" s="46">
        <v>1</v>
      </c>
      <c r="F21" s="46">
        <v>2</v>
      </c>
      <c r="G21" s="46">
        <v>11.4</v>
      </c>
      <c r="H21" s="46"/>
      <c r="I21" s="46">
        <v>0.1</v>
      </c>
      <c r="J21" s="47">
        <f>E21*F21*G21*I21</f>
        <v>2.2800000000000002</v>
      </c>
      <c r="K21" s="69">
        <v>60</v>
      </c>
      <c r="L21" s="78">
        <f>J21*K21</f>
        <v>136.80000000000001</v>
      </c>
    </row>
    <row r="22" spans="2:12" x14ac:dyDescent="0.2">
      <c r="B22" s="40" t="s">
        <v>45</v>
      </c>
      <c r="C22" s="31" t="s">
        <v>70</v>
      </c>
      <c r="D22" s="31" t="s">
        <v>17</v>
      </c>
      <c r="E22" s="32">
        <v>1</v>
      </c>
      <c r="F22" s="32">
        <v>2</v>
      </c>
      <c r="G22" s="46">
        <v>11.4</v>
      </c>
      <c r="H22" s="32"/>
      <c r="I22" s="32">
        <v>0.65</v>
      </c>
      <c r="J22" s="47">
        <f t="shared" ref="J22:J23" si="1">E22*F22*G22*I22</f>
        <v>14.82</v>
      </c>
      <c r="K22" s="67">
        <v>250</v>
      </c>
      <c r="L22" s="79">
        <f>J22*K22</f>
        <v>3705</v>
      </c>
    </row>
    <row r="23" spans="2:12" x14ac:dyDescent="0.2">
      <c r="B23" s="40" t="s">
        <v>47</v>
      </c>
      <c r="C23" s="31" t="s">
        <v>71</v>
      </c>
      <c r="D23" s="31" t="s">
        <v>17</v>
      </c>
      <c r="E23" s="32">
        <v>1</v>
      </c>
      <c r="F23" s="32">
        <v>2</v>
      </c>
      <c r="G23" s="46">
        <v>11.4</v>
      </c>
      <c r="H23" s="32"/>
      <c r="I23" s="32">
        <f>6.5</f>
        <v>6.5</v>
      </c>
      <c r="J23" s="47">
        <f t="shared" si="1"/>
        <v>148.20000000000002</v>
      </c>
      <c r="K23" s="67">
        <v>400</v>
      </c>
      <c r="L23" s="79">
        <f>J23*K23</f>
        <v>59280.000000000007</v>
      </c>
    </row>
    <row r="24" spans="2:12" ht="5.25" customHeight="1" x14ac:dyDescent="0.2">
      <c r="B24" s="68"/>
      <c r="C24" s="54"/>
      <c r="D24" s="54"/>
      <c r="E24" s="43"/>
      <c r="F24" s="43"/>
      <c r="G24" s="43"/>
      <c r="H24" s="43"/>
      <c r="I24" s="43"/>
      <c r="J24" s="55"/>
      <c r="K24" s="67"/>
      <c r="L24" s="79"/>
    </row>
    <row r="25" spans="2:12" x14ac:dyDescent="0.2">
      <c r="B25" s="34"/>
      <c r="C25" s="35"/>
      <c r="D25" s="35"/>
      <c r="E25" s="35"/>
      <c r="F25" s="35"/>
      <c r="G25" s="35"/>
      <c r="H25" s="35"/>
      <c r="I25" s="36" t="s">
        <v>49</v>
      </c>
      <c r="J25" s="37">
        <f>SUM(J21:J24)</f>
        <v>165.3</v>
      </c>
      <c r="K25" s="69"/>
      <c r="L25" s="78"/>
    </row>
    <row r="26" spans="2:12" x14ac:dyDescent="0.2">
      <c r="B26" s="3" t="s">
        <v>61</v>
      </c>
      <c r="C26" s="4"/>
      <c r="D26" s="4"/>
      <c r="E26" s="4"/>
      <c r="F26" s="4"/>
      <c r="G26" s="4"/>
      <c r="H26" s="4"/>
      <c r="I26" s="4"/>
      <c r="J26" s="5"/>
      <c r="K26" s="67"/>
      <c r="L26" s="79"/>
    </row>
    <row r="27" spans="2:12" x14ac:dyDescent="0.2">
      <c r="B27" s="21">
        <v>6.1</v>
      </c>
      <c r="C27" s="23" t="s">
        <v>62</v>
      </c>
      <c r="D27" s="23" t="s">
        <v>63</v>
      </c>
      <c r="E27" s="20"/>
      <c r="F27" s="20"/>
      <c r="G27" s="20"/>
      <c r="H27" s="22"/>
      <c r="I27" s="20"/>
      <c r="J27" s="56">
        <f>'[1]Steel_RW_Deep-Area_as-Arch'!$AD$8</f>
        <v>10245.59</v>
      </c>
      <c r="K27" s="67">
        <v>60</v>
      </c>
      <c r="L27" s="79">
        <f>J27*K27</f>
        <v>614735.4</v>
      </c>
    </row>
    <row r="28" spans="2:12" ht="15.75" thickBot="1" x14ac:dyDescent="0.25">
      <c r="B28" s="81"/>
      <c r="C28" s="82"/>
      <c r="D28" s="82"/>
      <c r="E28" s="82"/>
      <c r="F28" s="82"/>
      <c r="G28" s="82"/>
      <c r="H28" s="82"/>
      <c r="I28" s="83" t="s">
        <v>64</v>
      </c>
      <c r="J28" s="84">
        <f>SUM(J27)</f>
        <v>10245.59</v>
      </c>
      <c r="K28" s="74"/>
      <c r="L28" s="87">
        <f>SUM(L5:L27)/11.4</f>
        <v>104899.00789473683</v>
      </c>
    </row>
    <row r="29" spans="2:12" ht="15.75" thickBot="1" x14ac:dyDescent="0.25">
      <c r="B29" s="85"/>
      <c r="C29" s="86"/>
      <c r="D29" s="86"/>
      <c r="E29" s="86"/>
      <c r="F29" s="86"/>
      <c r="G29" s="86"/>
      <c r="H29" s="86"/>
      <c r="I29" s="86"/>
      <c r="J29" s="86"/>
      <c r="K29" s="80" t="s">
        <v>81</v>
      </c>
      <c r="L29" s="75">
        <f>L28-Wall_Ded_With_RW!L39</f>
        <v>101120.53028279654</v>
      </c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9"/>
  <sheetViews>
    <sheetView topLeftCell="A13" workbookViewId="0">
      <selection activeCell="D33" sqref="D33"/>
    </sheetView>
  </sheetViews>
  <sheetFormatPr defaultRowHeight="15" x14ac:dyDescent="0.2"/>
  <cols>
    <col min="3" max="3" width="43.44921875" customWidth="1"/>
    <col min="10" max="10" width="11.56640625" bestFit="1" customWidth="1"/>
  </cols>
  <sheetData>
    <row r="1" spans="2:12" ht="15.75" thickBot="1" x14ac:dyDescent="0.25"/>
    <row r="2" spans="2:12" ht="18.75" x14ac:dyDescent="0.25">
      <c r="B2" s="93" t="s">
        <v>84</v>
      </c>
      <c r="C2" s="94"/>
      <c r="D2" s="94"/>
      <c r="E2" s="94"/>
      <c r="F2" s="94"/>
      <c r="G2" s="94"/>
      <c r="H2" s="94"/>
      <c r="I2" s="94"/>
      <c r="J2" s="95"/>
      <c r="K2" s="70"/>
      <c r="L2" s="71"/>
    </row>
    <row r="3" spans="2:12" ht="27.75" x14ac:dyDescent="0.2">
      <c r="B3" s="24" t="s">
        <v>0</v>
      </c>
      <c r="C3" s="25" t="s">
        <v>1</v>
      </c>
      <c r="D3" s="25" t="s">
        <v>2</v>
      </c>
      <c r="E3" s="25" t="s">
        <v>3</v>
      </c>
      <c r="F3" s="25" t="s">
        <v>3</v>
      </c>
      <c r="G3" s="25" t="s">
        <v>4</v>
      </c>
      <c r="H3" s="25" t="s">
        <v>5</v>
      </c>
      <c r="I3" s="25" t="s">
        <v>6</v>
      </c>
      <c r="J3" s="26" t="s">
        <v>7</v>
      </c>
      <c r="K3" s="26" t="s">
        <v>79</v>
      </c>
      <c r="L3" s="26" t="s">
        <v>80</v>
      </c>
    </row>
    <row r="4" spans="2:12" ht="15.75" thickBot="1" x14ac:dyDescent="0.25">
      <c r="B4" s="27" t="s">
        <v>8</v>
      </c>
      <c r="C4" s="28"/>
      <c r="D4" s="28"/>
      <c r="E4" s="28"/>
      <c r="F4" s="28"/>
      <c r="G4" s="28"/>
      <c r="H4" s="28"/>
      <c r="I4" s="28"/>
      <c r="J4" s="29"/>
      <c r="K4" s="72"/>
      <c r="L4" s="73"/>
    </row>
    <row r="5" spans="2:12" ht="27.75" x14ac:dyDescent="0.2">
      <c r="B5" s="30" t="s">
        <v>9</v>
      </c>
      <c r="C5" s="31" t="s">
        <v>65</v>
      </c>
      <c r="D5" s="31" t="s">
        <v>11</v>
      </c>
      <c r="E5" s="32">
        <v>1</v>
      </c>
      <c r="F5" s="32">
        <v>1</v>
      </c>
      <c r="G5" s="32">
        <v>11.4</v>
      </c>
      <c r="H5" s="32">
        <f>4.5+0.85+0.25*2</f>
        <v>5.85</v>
      </c>
      <c r="I5" s="32">
        <v>1.2</v>
      </c>
      <c r="J5" s="33">
        <f>E5*F5*G5*H5*I5</f>
        <v>80.027999999999992</v>
      </c>
      <c r="K5" s="69">
        <v>80</v>
      </c>
      <c r="L5" s="78">
        <f>J5*K5</f>
        <v>6402.24</v>
      </c>
    </row>
    <row r="6" spans="2:12" ht="5.25" customHeight="1" x14ac:dyDescent="0.2">
      <c r="B6" s="68"/>
      <c r="C6" s="54"/>
      <c r="D6" s="54"/>
      <c r="E6" s="43"/>
      <c r="F6" s="43"/>
      <c r="G6" s="43"/>
      <c r="H6" s="43"/>
      <c r="I6" s="43"/>
      <c r="J6" s="44"/>
      <c r="K6" s="67"/>
      <c r="L6" s="79"/>
    </row>
    <row r="7" spans="2:12" x14ac:dyDescent="0.2">
      <c r="B7" s="50"/>
      <c r="C7" s="51"/>
      <c r="D7" s="51"/>
      <c r="E7" s="51"/>
      <c r="F7" s="51"/>
      <c r="G7" s="51"/>
      <c r="H7" s="51"/>
      <c r="I7" s="52" t="s">
        <v>14</v>
      </c>
      <c r="J7" s="53">
        <f>SUM(J5:J6)</f>
        <v>80.027999999999992</v>
      </c>
      <c r="K7" s="67"/>
      <c r="L7" s="79"/>
    </row>
    <row r="8" spans="2:12" ht="27.75" x14ac:dyDescent="0.2">
      <c r="B8" s="30" t="s">
        <v>15</v>
      </c>
      <c r="C8" s="31" t="s">
        <v>66</v>
      </c>
      <c r="D8" s="31" t="s">
        <v>17</v>
      </c>
      <c r="E8" s="32">
        <v>1</v>
      </c>
      <c r="F8" s="32">
        <v>1</v>
      </c>
      <c r="G8" s="32">
        <v>11.4</v>
      </c>
      <c r="H8" s="32">
        <f>4.5+0.85+0.15*2</f>
        <v>5.6499999999999995</v>
      </c>
      <c r="I8" s="32"/>
      <c r="J8" s="33">
        <f>E8*F8*G8*H8</f>
        <v>64.41</v>
      </c>
      <c r="K8" s="67">
        <v>30</v>
      </c>
      <c r="L8" s="79">
        <f>J8*K8</f>
        <v>1932.3</v>
      </c>
    </row>
    <row r="9" spans="2:12" ht="5.25" customHeight="1" x14ac:dyDescent="0.2">
      <c r="B9" s="68"/>
      <c r="C9" s="54"/>
      <c r="D9" s="54"/>
      <c r="E9" s="43"/>
      <c r="F9" s="43"/>
      <c r="G9" s="43"/>
      <c r="H9" s="43"/>
      <c r="I9" s="43"/>
      <c r="J9" s="44"/>
      <c r="K9" s="67"/>
      <c r="L9" s="79"/>
    </row>
    <row r="10" spans="2:12" x14ac:dyDescent="0.2">
      <c r="B10" s="34"/>
      <c r="C10" s="35"/>
      <c r="D10" s="35"/>
      <c r="E10" s="35"/>
      <c r="F10" s="35"/>
      <c r="G10" s="35"/>
      <c r="H10" s="35"/>
      <c r="I10" s="36" t="s">
        <v>20</v>
      </c>
      <c r="J10" s="37">
        <f>SUM(J8:J9)</f>
        <v>64.41</v>
      </c>
      <c r="K10" s="67"/>
      <c r="L10" s="79"/>
    </row>
    <row r="11" spans="2:12" x14ac:dyDescent="0.2">
      <c r="B11" s="27" t="s">
        <v>27</v>
      </c>
      <c r="C11" s="38"/>
      <c r="D11" s="38"/>
      <c r="E11" s="38"/>
      <c r="F11" s="38"/>
      <c r="G11" s="38"/>
      <c r="H11" s="38"/>
      <c r="I11" s="38"/>
      <c r="J11" s="39"/>
      <c r="K11" s="67"/>
      <c r="L11" s="79"/>
    </row>
    <row r="12" spans="2:12" ht="27.75" x14ac:dyDescent="0.2">
      <c r="B12" s="30" t="s">
        <v>28</v>
      </c>
      <c r="C12" s="31" t="s">
        <v>31</v>
      </c>
      <c r="D12" s="31" t="s">
        <v>11</v>
      </c>
      <c r="E12" s="32">
        <v>1</v>
      </c>
      <c r="F12" s="32">
        <v>1</v>
      </c>
      <c r="G12" s="32">
        <v>11.4</v>
      </c>
      <c r="H12" s="32">
        <f>4.5+0.85+0.075*2</f>
        <v>5.5</v>
      </c>
      <c r="I12" s="32">
        <v>0.1</v>
      </c>
      <c r="J12" s="33">
        <f>E12*F12*G12*H12*I12</f>
        <v>6.2700000000000005</v>
      </c>
      <c r="K12" s="66">
        <v>5200</v>
      </c>
      <c r="L12" s="79">
        <f>J12*K12</f>
        <v>32604.000000000004</v>
      </c>
    </row>
    <row r="13" spans="2:12" ht="6" customHeight="1" x14ac:dyDescent="0.2">
      <c r="B13" s="68"/>
      <c r="C13" s="54"/>
      <c r="D13" s="54"/>
      <c r="E13" s="43"/>
      <c r="F13" s="43"/>
      <c r="G13" s="43"/>
      <c r="H13" s="43"/>
      <c r="I13" s="43"/>
      <c r="J13" s="44"/>
      <c r="K13" s="67"/>
      <c r="L13" s="79"/>
    </row>
    <row r="14" spans="2:12" x14ac:dyDescent="0.2">
      <c r="B14" s="34"/>
      <c r="C14" s="35"/>
      <c r="D14" s="35"/>
      <c r="E14" s="35"/>
      <c r="F14" s="35"/>
      <c r="G14" s="35"/>
      <c r="H14" s="35"/>
      <c r="I14" s="36" t="s">
        <v>32</v>
      </c>
      <c r="J14" s="37">
        <f>SUM(J12:J13)</f>
        <v>6.2700000000000005</v>
      </c>
      <c r="K14" s="67"/>
      <c r="L14" s="79"/>
    </row>
    <row r="15" spans="2:12" ht="27.75" x14ac:dyDescent="0.2">
      <c r="B15" s="30" t="s">
        <v>33</v>
      </c>
      <c r="C15" s="31" t="s">
        <v>67</v>
      </c>
      <c r="D15" s="31" t="s">
        <v>11</v>
      </c>
      <c r="E15" s="32">
        <v>1</v>
      </c>
      <c r="F15" s="32">
        <v>1</v>
      </c>
      <c r="G15" s="32">
        <v>11.4</v>
      </c>
      <c r="H15" s="32">
        <f>4.5+0.85+0*2</f>
        <v>5.35</v>
      </c>
      <c r="I15" s="32">
        <v>0.65</v>
      </c>
      <c r="J15" s="33">
        <f>E15*F15*G15*H15*I15</f>
        <v>39.643499999999996</v>
      </c>
      <c r="K15" s="66">
        <v>5800</v>
      </c>
      <c r="L15" s="79">
        <f>J15*K15</f>
        <v>229932.3</v>
      </c>
    </row>
    <row r="16" spans="2:12" ht="27.75" x14ac:dyDescent="0.2">
      <c r="B16" s="30" t="s">
        <v>35</v>
      </c>
      <c r="C16" s="31" t="s">
        <v>68</v>
      </c>
      <c r="D16" s="31" t="s">
        <v>11</v>
      </c>
      <c r="E16" s="32">
        <v>1</v>
      </c>
      <c r="F16" s="32">
        <v>1</v>
      </c>
      <c r="G16" s="32">
        <v>11.4</v>
      </c>
      <c r="H16" s="32">
        <f>(0.85+0.23)/2</f>
        <v>0.54</v>
      </c>
      <c r="I16" s="32">
        <v>6.5</v>
      </c>
      <c r="J16" s="33">
        <f>E16*F16*G16*H16*I16</f>
        <v>40.014000000000003</v>
      </c>
      <c r="K16" s="66">
        <v>6200</v>
      </c>
      <c r="L16" s="79">
        <f>J16*K16</f>
        <v>248086.80000000002</v>
      </c>
    </row>
    <row r="17" spans="2:12" ht="5.25" customHeight="1" x14ac:dyDescent="0.2">
      <c r="B17" s="68"/>
      <c r="C17" s="54"/>
      <c r="D17" s="54"/>
      <c r="E17" s="43"/>
      <c r="F17" s="43"/>
      <c r="G17" s="43"/>
      <c r="H17" s="43"/>
      <c r="I17" s="43"/>
      <c r="J17" s="44"/>
      <c r="K17" s="67"/>
      <c r="L17" s="79"/>
    </row>
    <row r="18" spans="2:12" x14ac:dyDescent="0.2">
      <c r="B18" s="34"/>
      <c r="C18" s="35"/>
      <c r="D18" s="35"/>
      <c r="E18" s="35"/>
      <c r="F18" s="35"/>
      <c r="G18" s="35"/>
      <c r="H18" s="35"/>
      <c r="I18" s="36" t="s">
        <v>38</v>
      </c>
      <c r="J18" s="37">
        <f>SUM(J15:J17)</f>
        <v>79.657499999999999</v>
      </c>
      <c r="K18" s="67"/>
      <c r="L18" s="79"/>
    </row>
    <row r="19" spans="2:12" x14ac:dyDescent="0.2">
      <c r="B19" s="27" t="s">
        <v>39</v>
      </c>
      <c r="C19" s="38"/>
      <c r="D19" s="38"/>
      <c r="E19" s="38"/>
      <c r="F19" s="38"/>
      <c r="G19" s="38"/>
      <c r="H19" s="38"/>
      <c r="I19" s="38"/>
      <c r="J19" s="39"/>
      <c r="K19" s="67"/>
      <c r="L19" s="79"/>
    </row>
    <row r="20" spans="2:12" ht="27.75" x14ac:dyDescent="0.2">
      <c r="B20" s="40">
        <v>3.1</v>
      </c>
      <c r="C20" s="41" t="s">
        <v>40</v>
      </c>
      <c r="D20" s="42"/>
      <c r="E20" s="43"/>
      <c r="F20" s="43"/>
      <c r="G20" s="43"/>
      <c r="H20" s="43"/>
      <c r="I20" s="43"/>
      <c r="J20" s="44"/>
      <c r="K20" s="67"/>
      <c r="L20" s="79"/>
    </row>
    <row r="21" spans="2:12" x14ac:dyDescent="0.2">
      <c r="B21" s="40" t="s">
        <v>41</v>
      </c>
      <c r="C21" s="31" t="s">
        <v>69</v>
      </c>
      <c r="D21" s="45" t="s">
        <v>17</v>
      </c>
      <c r="E21" s="46">
        <v>1</v>
      </c>
      <c r="F21" s="46">
        <v>2</v>
      </c>
      <c r="G21" s="46">
        <v>11.4</v>
      </c>
      <c r="H21" s="46"/>
      <c r="I21" s="46">
        <v>0.1</v>
      </c>
      <c r="J21" s="47">
        <f>E21*F21*G21*I21</f>
        <v>2.2800000000000002</v>
      </c>
      <c r="K21" s="66">
        <v>60</v>
      </c>
      <c r="L21" s="79">
        <f>J21*K21</f>
        <v>136.80000000000001</v>
      </c>
    </row>
    <row r="22" spans="2:12" x14ac:dyDescent="0.2">
      <c r="B22" s="40" t="s">
        <v>45</v>
      </c>
      <c r="C22" s="31" t="s">
        <v>70</v>
      </c>
      <c r="D22" s="31" t="s">
        <v>17</v>
      </c>
      <c r="E22" s="32">
        <v>1</v>
      </c>
      <c r="F22" s="32">
        <v>2</v>
      </c>
      <c r="G22" s="46">
        <v>11.4</v>
      </c>
      <c r="H22" s="32"/>
      <c r="I22" s="32">
        <v>0.65</v>
      </c>
      <c r="J22" s="47">
        <f>E22*F22*G22*I22</f>
        <v>14.82</v>
      </c>
      <c r="K22" s="66">
        <v>250</v>
      </c>
      <c r="L22" s="79">
        <f>J22*K22</f>
        <v>3705</v>
      </c>
    </row>
    <row r="23" spans="2:12" x14ac:dyDescent="0.2">
      <c r="B23" s="40" t="s">
        <v>47</v>
      </c>
      <c r="C23" s="31" t="s">
        <v>71</v>
      </c>
      <c r="D23" s="31" t="s">
        <v>17</v>
      </c>
      <c r="E23" s="32">
        <v>1</v>
      </c>
      <c r="F23" s="32">
        <v>2</v>
      </c>
      <c r="G23" s="46">
        <v>11.4</v>
      </c>
      <c r="H23" s="32"/>
      <c r="I23" s="32">
        <f>6.5</f>
        <v>6.5</v>
      </c>
      <c r="J23" s="47">
        <f>E23*F23*G23*I23</f>
        <v>148.20000000000002</v>
      </c>
      <c r="K23" s="67">
        <v>400</v>
      </c>
      <c r="L23" s="79">
        <f>J23*K23</f>
        <v>59280.000000000007</v>
      </c>
    </row>
    <row r="24" spans="2:12" ht="5.25" customHeight="1" x14ac:dyDescent="0.2">
      <c r="B24" s="68"/>
      <c r="C24" s="54"/>
      <c r="D24" s="54"/>
      <c r="E24" s="43"/>
      <c r="F24" s="43"/>
      <c r="G24" s="43"/>
      <c r="H24" s="43"/>
      <c r="I24" s="43"/>
      <c r="J24" s="44"/>
      <c r="K24" s="67"/>
      <c r="L24" s="79"/>
    </row>
    <row r="25" spans="2:12" x14ac:dyDescent="0.2">
      <c r="B25" s="34"/>
      <c r="C25" s="35"/>
      <c r="D25" s="35"/>
      <c r="E25" s="35"/>
      <c r="F25" s="35"/>
      <c r="G25" s="35"/>
      <c r="H25" s="35"/>
      <c r="I25" s="36" t="s">
        <v>49</v>
      </c>
      <c r="J25" s="37">
        <f>SUM(J21:J24)</f>
        <v>165.3</v>
      </c>
      <c r="K25" s="67"/>
      <c r="L25" s="79"/>
    </row>
    <row r="26" spans="2:12" x14ac:dyDescent="0.2">
      <c r="B26" s="3" t="s">
        <v>61</v>
      </c>
      <c r="C26" s="4"/>
      <c r="D26" s="4"/>
      <c r="E26" s="4"/>
      <c r="F26" s="4"/>
      <c r="G26" s="4"/>
      <c r="H26" s="4"/>
      <c r="I26" s="4"/>
      <c r="J26" s="5"/>
      <c r="K26" s="67"/>
      <c r="L26" s="79"/>
    </row>
    <row r="27" spans="2:12" x14ac:dyDescent="0.2">
      <c r="B27" s="21">
        <v>6.1</v>
      </c>
      <c r="C27" s="23" t="s">
        <v>62</v>
      </c>
      <c r="D27" s="23" t="s">
        <v>63</v>
      </c>
      <c r="E27" s="20"/>
      <c r="F27" s="20"/>
      <c r="G27" s="20"/>
      <c r="H27" s="22"/>
      <c r="I27" s="20"/>
      <c r="J27" s="56">
        <f>'[1]Steel_RW_Deep-Area_as-Our'!$AD$8</f>
        <v>4798.0169999999998</v>
      </c>
      <c r="K27" s="67">
        <v>60</v>
      </c>
      <c r="L27" s="79">
        <f>J27*K27</f>
        <v>287881.02</v>
      </c>
    </row>
    <row r="28" spans="2:12" ht="15.75" thickBot="1" x14ac:dyDescent="0.25">
      <c r="B28" s="81"/>
      <c r="C28" s="82"/>
      <c r="D28" s="82"/>
      <c r="E28" s="82"/>
      <c r="F28" s="82"/>
      <c r="G28" s="82"/>
      <c r="H28" s="82"/>
      <c r="I28" s="83" t="s">
        <v>64</v>
      </c>
      <c r="J28" s="84">
        <f>SUM(J27)</f>
        <v>4798.0169999999998</v>
      </c>
      <c r="K28" s="74"/>
      <c r="L28" s="79">
        <f>SUM(L5:L27)/11.4</f>
        <v>76312.321052631582</v>
      </c>
    </row>
    <row r="29" spans="2:12" ht="15.75" thickBot="1" x14ac:dyDescent="0.25">
      <c r="B29" s="85"/>
      <c r="C29" s="86"/>
      <c r="D29" s="86"/>
      <c r="E29" s="86"/>
      <c r="F29" s="86"/>
      <c r="G29" s="86"/>
      <c r="H29" s="86"/>
      <c r="I29" s="86"/>
      <c r="J29" s="86"/>
      <c r="K29" s="80" t="s">
        <v>81</v>
      </c>
      <c r="L29" s="80">
        <f>L28-Wall_Ded_With_RW!L39</f>
        <v>72533.843440691286</v>
      </c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5"/>
  <sheetViews>
    <sheetView workbookViewId="0">
      <selection activeCell="L25" sqref="L25"/>
    </sheetView>
  </sheetViews>
  <sheetFormatPr defaultRowHeight="15" x14ac:dyDescent="0.2"/>
  <cols>
    <col min="3" max="3" width="43.44921875" customWidth="1"/>
    <col min="10" max="11" width="11.56640625" bestFit="1" customWidth="1"/>
  </cols>
  <sheetData>
    <row r="1" spans="2:12" ht="15.75" thickBot="1" x14ac:dyDescent="0.25"/>
    <row r="2" spans="2:12" ht="18.75" x14ac:dyDescent="0.25">
      <c r="B2" s="93" t="s">
        <v>85</v>
      </c>
      <c r="C2" s="94"/>
      <c r="D2" s="94"/>
      <c r="E2" s="94"/>
      <c r="F2" s="94"/>
      <c r="G2" s="94"/>
      <c r="H2" s="94"/>
      <c r="I2" s="94"/>
      <c r="J2" s="95"/>
      <c r="K2" s="76"/>
      <c r="L2" s="71"/>
    </row>
    <row r="3" spans="2:12" ht="27.75" x14ac:dyDescent="0.2">
      <c r="B3" s="24" t="s">
        <v>0</v>
      </c>
      <c r="C3" s="25" t="s">
        <v>1</v>
      </c>
      <c r="D3" s="25" t="s">
        <v>2</v>
      </c>
      <c r="E3" s="25" t="s">
        <v>3</v>
      </c>
      <c r="F3" s="25" t="s">
        <v>3</v>
      </c>
      <c r="G3" s="25" t="s">
        <v>4</v>
      </c>
      <c r="H3" s="25" t="s">
        <v>5</v>
      </c>
      <c r="I3" s="25" t="s">
        <v>6</v>
      </c>
      <c r="J3" s="26" t="s">
        <v>7</v>
      </c>
      <c r="K3" s="39" t="s">
        <v>79</v>
      </c>
      <c r="L3" s="26" t="s">
        <v>80</v>
      </c>
    </row>
    <row r="4" spans="2:12" ht="15.75" thickBot="1" x14ac:dyDescent="0.25">
      <c r="B4" s="27" t="s">
        <v>8</v>
      </c>
      <c r="C4" s="28"/>
      <c r="D4" s="28"/>
      <c r="E4" s="28"/>
      <c r="F4" s="28"/>
      <c r="G4" s="28"/>
      <c r="H4" s="28"/>
      <c r="I4" s="28"/>
      <c r="J4" s="29"/>
      <c r="K4" s="77"/>
      <c r="L4" s="73"/>
    </row>
    <row r="5" spans="2:12" x14ac:dyDescent="0.2">
      <c r="B5" s="30" t="s">
        <v>9</v>
      </c>
      <c r="C5" s="31" t="s">
        <v>76</v>
      </c>
      <c r="D5" s="31" t="s">
        <v>11</v>
      </c>
      <c r="E5" s="32">
        <v>1</v>
      </c>
      <c r="F5" s="32">
        <v>1</v>
      </c>
      <c r="G5" s="32">
        <v>11.4</v>
      </c>
      <c r="H5" s="32">
        <v>1.5</v>
      </c>
      <c r="I5" s="32">
        <v>6.5</v>
      </c>
      <c r="J5" s="33">
        <f>E5*F5*G5*H5*I5</f>
        <v>111.15</v>
      </c>
      <c r="K5" s="91">
        <f>4600/11</f>
        <v>418.18181818181819</v>
      </c>
      <c r="L5" s="78">
        <f>J5*K5</f>
        <v>46480.909090909096</v>
      </c>
    </row>
    <row r="6" spans="2:12" x14ac:dyDescent="0.2">
      <c r="B6" s="30" t="s">
        <v>9</v>
      </c>
      <c r="C6" s="31" t="s">
        <v>76</v>
      </c>
      <c r="D6" s="31" t="s">
        <v>11</v>
      </c>
      <c r="E6" s="32">
        <v>1</v>
      </c>
      <c r="F6" s="32">
        <v>1</v>
      </c>
      <c r="G6" s="32">
        <v>11.4</v>
      </c>
      <c r="H6" s="32">
        <f>4.5/2</f>
        <v>2.25</v>
      </c>
      <c r="I6" s="32">
        <v>6.5</v>
      </c>
      <c r="J6" s="33">
        <f>E6*F6*G6*H6*I6</f>
        <v>166.72500000000002</v>
      </c>
      <c r="K6" s="92">
        <f>K5</f>
        <v>418.18181818181819</v>
      </c>
      <c r="L6" s="79">
        <f>J6*K6</f>
        <v>69721.363636363647</v>
      </c>
    </row>
    <row r="7" spans="2:12" ht="5.25" customHeight="1" x14ac:dyDescent="0.2">
      <c r="B7" s="68"/>
      <c r="C7" s="54"/>
      <c r="D7" s="54"/>
      <c r="E7" s="43"/>
      <c r="F7" s="43"/>
      <c r="G7" s="43"/>
      <c r="H7" s="43"/>
      <c r="I7" s="43"/>
      <c r="J7" s="44"/>
      <c r="K7" s="67"/>
      <c r="L7" s="79"/>
    </row>
    <row r="8" spans="2:12" x14ac:dyDescent="0.2">
      <c r="B8" s="50"/>
      <c r="C8" s="51"/>
      <c r="D8" s="51"/>
      <c r="E8" s="51"/>
      <c r="F8" s="51"/>
      <c r="G8" s="51"/>
      <c r="H8" s="51"/>
      <c r="I8" s="52" t="s">
        <v>14</v>
      </c>
      <c r="J8" s="53">
        <f>SUM(J5:J7)</f>
        <v>277.875</v>
      </c>
      <c r="K8" s="67"/>
      <c r="L8" s="79"/>
    </row>
    <row r="9" spans="2:12" ht="5.25" customHeight="1" x14ac:dyDescent="0.2">
      <c r="B9" s="68"/>
      <c r="C9" s="54"/>
      <c r="D9" s="54"/>
      <c r="E9" s="43"/>
      <c r="F9" s="43"/>
      <c r="G9" s="43"/>
      <c r="H9" s="43"/>
      <c r="I9" s="43"/>
      <c r="J9" s="44"/>
      <c r="K9" s="69"/>
      <c r="L9" s="78"/>
    </row>
    <row r="10" spans="2:12" x14ac:dyDescent="0.2">
      <c r="B10" s="34"/>
      <c r="C10" s="35"/>
      <c r="D10" s="35"/>
      <c r="E10" s="35"/>
      <c r="F10" s="35"/>
      <c r="G10" s="35"/>
      <c r="H10" s="35"/>
      <c r="I10" s="36" t="s">
        <v>20</v>
      </c>
      <c r="J10" s="37">
        <f>SUM(J9:J9)</f>
        <v>0</v>
      </c>
      <c r="K10" s="67"/>
      <c r="L10" s="79"/>
    </row>
    <row r="11" spans="2:12" x14ac:dyDescent="0.2">
      <c r="B11" s="27" t="s">
        <v>27</v>
      </c>
      <c r="C11" s="38"/>
      <c r="D11" s="38"/>
      <c r="E11" s="38"/>
      <c r="F11" s="38"/>
      <c r="G11" s="38"/>
      <c r="H11" s="38"/>
      <c r="I11" s="38"/>
      <c r="J11" s="39"/>
      <c r="K11" s="67"/>
      <c r="L11" s="79"/>
    </row>
    <row r="12" spans="2:12" x14ac:dyDescent="0.2">
      <c r="B12" s="30" t="s">
        <v>33</v>
      </c>
      <c r="C12" s="31" t="s">
        <v>74</v>
      </c>
      <c r="D12" s="31" t="s">
        <v>11</v>
      </c>
      <c r="E12" s="32">
        <v>1</v>
      </c>
      <c r="F12" s="32">
        <v>4</v>
      </c>
      <c r="G12" s="32">
        <v>11.4</v>
      </c>
      <c r="H12" s="32">
        <f>0.23</f>
        <v>0.23</v>
      </c>
      <c r="I12" s="32">
        <v>0.3</v>
      </c>
      <c r="J12" s="33">
        <f>E12*F12*G12*H12*I12</f>
        <v>3.1464000000000003</v>
      </c>
      <c r="K12" s="67">
        <v>5800</v>
      </c>
      <c r="L12" s="79">
        <f>J12*K12</f>
        <v>18249.120000000003</v>
      </c>
    </row>
    <row r="13" spans="2:12" ht="27.75" x14ac:dyDescent="0.2">
      <c r="B13" s="30" t="s">
        <v>35</v>
      </c>
      <c r="C13" s="31" t="s">
        <v>75</v>
      </c>
      <c r="D13" s="31" t="s">
        <v>11</v>
      </c>
      <c r="E13" s="32">
        <v>1</v>
      </c>
      <c r="F13" s="32">
        <v>5</v>
      </c>
      <c r="G13" s="32">
        <v>6.5</v>
      </c>
      <c r="H13" s="32">
        <v>0.23</v>
      </c>
      <c r="I13" s="32">
        <v>0.23</v>
      </c>
      <c r="J13" s="33">
        <f>E13*F13*G13*H13*I13</f>
        <v>1.7192500000000002</v>
      </c>
      <c r="K13" s="69">
        <f>K12</f>
        <v>5800</v>
      </c>
      <c r="L13" s="78">
        <f>J13*K13</f>
        <v>9971.6500000000015</v>
      </c>
    </row>
    <row r="14" spans="2:12" ht="5.25" customHeight="1" x14ac:dyDescent="0.2">
      <c r="B14" s="68"/>
      <c r="C14" s="54"/>
      <c r="D14" s="54"/>
      <c r="E14" s="43"/>
      <c r="F14" s="43"/>
      <c r="G14" s="43"/>
      <c r="H14" s="43"/>
      <c r="I14" s="43"/>
      <c r="J14" s="44"/>
      <c r="K14" s="67"/>
      <c r="L14" s="79"/>
    </row>
    <row r="15" spans="2:12" x14ac:dyDescent="0.2">
      <c r="B15" s="34"/>
      <c r="C15" s="35"/>
      <c r="D15" s="35"/>
      <c r="E15" s="35"/>
      <c r="F15" s="35"/>
      <c r="G15" s="35"/>
      <c r="H15" s="35"/>
      <c r="I15" s="36" t="s">
        <v>38</v>
      </c>
      <c r="J15" s="37">
        <f>SUM(J12:J14)</f>
        <v>4.8656500000000005</v>
      </c>
      <c r="K15" s="67"/>
      <c r="L15" s="79"/>
    </row>
    <row r="16" spans="2:12" x14ac:dyDescent="0.2">
      <c r="B16" s="27" t="s">
        <v>39</v>
      </c>
      <c r="C16" s="38"/>
      <c r="D16" s="38"/>
      <c r="E16" s="38"/>
      <c r="F16" s="38"/>
      <c r="G16" s="38"/>
      <c r="H16" s="38"/>
      <c r="I16" s="38"/>
      <c r="J16" s="39"/>
      <c r="K16" s="67"/>
      <c r="L16" s="79"/>
    </row>
    <row r="17" spans="2:12" ht="27.75" x14ac:dyDescent="0.2">
      <c r="B17" s="40">
        <v>3.1</v>
      </c>
      <c r="C17" s="41" t="s">
        <v>40</v>
      </c>
      <c r="D17" s="42"/>
      <c r="E17" s="43"/>
      <c r="F17" s="43"/>
      <c r="G17" s="43"/>
      <c r="H17" s="43"/>
      <c r="I17" s="43"/>
      <c r="J17" s="44"/>
      <c r="K17" s="69"/>
      <c r="L17" s="78"/>
    </row>
    <row r="18" spans="2:12" x14ac:dyDescent="0.2">
      <c r="B18" s="40" t="s">
        <v>45</v>
      </c>
      <c r="C18" s="31" t="s">
        <v>72</v>
      </c>
      <c r="D18" s="31" t="s">
        <v>17</v>
      </c>
      <c r="E18" s="32">
        <v>1</v>
      </c>
      <c r="F18" s="32">
        <v>4</v>
      </c>
      <c r="G18" s="48">
        <v>11.4</v>
      </c>
      <c r="H18" s="32"/>
      <c r="I18" s="32">
        <f>0.23+0.3*2</f>
        <v>0.83</v>
      </c>
      <c r="J18" s="49">
        <f>E18*F18*G18*I18</f>
        <v>37.847999999999999</v>
      </c>
      <c r="K18" s="67">
        <v>350</v>
      </c>
      <c r="L18" s="79">
        <f>J18*K18</f>
        <v>13246.8</v>
      </c>
    </row>
    <row r="19" spans="2:12" x14ac:dyDescent="0.2">
      <c r="B19" s="40" t="s">
        <v>47</v>
      </c>
      <c r="C19" s="31" t="s">
        <v>73</v>
      </c>
      <c r="D19" s="31" t="s">
        <v>17</v>
      </c>
      <c r="E19" s="32">
        <v>1</v>
      </c>
      <c r="F19" s="32">
        <v>5</v>
      </c>
      <c r="G19" s="48">
        <v>6.5</v>
      </c>
      <c r="H19" s="32"/>
      <c r="I19" s="32">
        <f>0.23*4</f>
        <v>0.92</v>
      </c>
      <c r="J19" s="49">
        <f>E19*F19*G19*I19</f>
        <v>29.900000000000002</v>
      </c>
      <c r="K19" s="67">
        <v>300</v>
      </c>
      <c r="L19" s="79">
        <f>J19*K19</f>
        <v>8970</v>
      </c>
    </row>
    <row r="20" spans="2:12" ht="5.25" customHeight="1" x14ac:dyDescent="0.2">
      <c r="B20" s="68"/>
      <c r="C20" s="54"/>
      <c r="D20" s="54"/>
      <c r="E20" s="43"/>
      <c r="F20" s="43"/>
      <c r="G20" s="43"/>
      <c r="H20" s="43"/>
      <c r="I20" s="43"/>
      <c r="J20" s="44"/>
      <c r="K20" s="67"/>
      <c r="L20" s="79"/>
    </row>
    <row r="21" spans="2:12" x14ac:dyDescent="0.2">
      <c r="B21" s="34"/>
      <c r="C21" s="35"/>
      <c r="D21" s="35"/>
      <c r="E21" s="35"/>
      <c r="F21" s="35"/>
      <c r="G21" s="35"/>
      <c r="H21" s="35"/>
      <c r="I21" s="36" t="s">
        <v>49</v>
      </c>
      <c r="J21" s="37">
        <f>SUM(J18:J20)</f>
        <v>67.748000000000005</v>
      </c>
      <c r="K21" s="69"/>
      <c r="L21" s="78"/>
    </row>
    <row r="22" spans="2:12" x14ac:dyDescent="0.2">
      <c r="B22" s="3" t="s">
        <v>77</v>
      </c>
      <c r="C22" s="4"/>
      <c r="D22" s="4"/>
      <c r="E22" s="4"/>
      <c r="F22" s="4"/>
      <c r="G22" s="4"/>
      <c r="H22" s="4"/>
      <c r="I22" s="4"/>
      <c r="J22" s="5"/>
      <c r="K22" s="67"/>
      <c r="L22" s="79"/>
    </row>
    <row r="23" spans="2:12" x14ac:dyDescent="0.2">
      <c r="B23" s="21">
        <v>6.1</v>
      </c>
      <c r="C23" s="23" t="s">
        <v>62</v>
      </c>
      <c r="D23" s="23" t="s">
        <v>63</v>
      </c>
      <c r="E23" s="20"/>
      <c r="F23" s="20"/>
      <c r="G23" s="20"/>
      <c r="H23" s="22"/>
      <c r="I23" s="20"/>
      <c r="J23" s="56">
        <f>'[1]Steel_RW_Deep-Area_as-Tie_beam'!$AD$8</f>
        <v>617.74099999999999</v>
      </c>
      <c r="K23" s="67">
        <v>60</v>
      </c>
      <c r="L23" s="79">
        <f>J23*K23</f>
        <v>37064.46</v>
      </c>
    </row>
    <row r="24" spans="2:12" ht="15.75" thickBot="1" x14ac:dyDescent="0.25">
      <c r="B24" s="81"/>
      <c r="C24" s="82"/>
      <c r="D24" s="82"/>
      <c r="E24" s="82"/>
      <c r="F24" s="82"/>
      <c r="G24" s="82"/>
      <c r="H24" s="82"/>
      <c r="I24" s="83" t="s">
        <v>64</v>
      </c>
      <c r="J24" s="84">
        <f>SUM(J23)</f>
        <v>617.74099999999999</v>
      </c>
      <c r="K24" s="74"/>
      <c r="L24" s="79"/>
    </row>
    <row r="25" spans="2:12" ht="15.75" thickBot="1" x14ac:dyDescent="0.25">
      <c r="B25" s="85"/>
      <c r="C25" s="86"/>
      <c r="D25" s="86"/>
      <c r="E25" s="86"/>
      <c r="F25" s="86"/>
      <c r="G25" s="86"/>
      <c r="H25" s="86"/>
      <c r="I25" s="86"/>
      <c r="J25" s="86"/>
      <c r="K25" s="80" t="s">
        <v>81</v>
      </c>
      <c r="L25" s="80">
        <f>SUM(L5:L23)/11.4</f>
        <v>17868.798484848481</v>
      </c>
    </row>
  </sheetData>
  <mergeCells count="1"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P39"/>
  <sheetViews>
    <sheetView topLeftCell="A19" zoomScaleNormal="150" zoomScaleSheetLayoutView="100" workbookViewId="0">
      <selection activeCell="I43" sqref="I43"/>
    </sheetView>
  </sheetViews>
  <sheetFormatPr defaultRowHeight="15" x14ac:dyDescent="0.2"/>
  <cols>
    <col min="1" max="1" width="2.95703125" customWidth="1"/>
    <col min="3" max="3" width="39.4140625" bestFit="1" customWidth="1"/>
    <col min="9" max="9" width="13.98828125" bestFit="1" customWidth="1"/>
    <col min="10" max="10" width="10.625" style="65" bestFit="1" customWidth="1"/>
  </cols>
  <sheetData>
    <row r="1" spans="2:12" ht="18.75" x14ac:dyDescent="0.25">
      <c r="B1" s="96" t="s">
        <v>82</v>
      </c>
      <c r="C1" s="97"/>
      <c r="D1" s="97"/>
      <c r="E1" s="97"/>
      <c r="F1" s="97"/>
      <c r="G1" s="97"/>
      <c r="H1" s="97"/>
      <c r="I1" s="97"/>
      <c r="J1" s="98"/>
      <c r="K1" s="70"/>
      <c r="L1" s="71"/>
    </row>
    <row r="2" spans="2:12" x14ac:dyDescent="0.2">
      <c r="B2" s="1" t="s">
        <v>0</v>
      </c>
      <c r="C2" s="2" t="s">
        <v>1</v>
      </c>
      <c r="D2" s="2" t="s">
        <v>2</v>
      </c>
      <c r="E2" s="2" t="s">
        <v>3</v>
      </c>
      <c r="F2" s="2" t="s">
        <v>3</v>
      </c>
      <c r="G2" s="2" t="s">
        <v>4</v>
      </c>
      <c r="H2" s="2" t="s">
        <v>5</v>
      </c>
      <c r="I2" s="2" t="s">
        <v>6</v>
      </c>
      <c r="J2" s="59" t="s">
        <v>7</v>
      </c>
      <c r="K2" s="26" t="s">
        <v>79</v>
      </c>
      <c r="L2" s="26" t="s">
        <v>80</v>
      </c>
    </row>
    <row r="3" spans="2:12" ht="15.75" thickBot="1" x14ac:dyDescent="0.25">
      <c r="B3" s="3" t="s">
        <v>8</v>
      </c>
      <c r="C3" s="4"/>
      <c r="D3" s="4"/>
      <c r="E3" s="4"/>
      <c r="F3" s="4"/>
      <c r="G3" s="4"/>
      <c r="H3" s="4"/>
      <c r="I3" s="4"/>
      <c r="J3" s="60"/>
      <c r="K3" s="72"/>
      <c r="L3" s="73"/>
    </row>
    <row r="4" spans="2:12" ht="41.25" x14ac:dyDescent="0.2">
      <c r="B4" s="6" t="s">
        <v>9</v>
      </c>
      <c r="C4" s="7" t="s">
        <v>10</v>
      </c>
      <c r="D4" s="7" t="s">
        <v>11</v>
      </c>
      <c r="E4" s="8">
        <v>1</v>
      </c>
      <c r="F4" s="8">
        <v>2</v>
      </c>
      <c r="G4" s="8">
        <f>1.2+0.075+0.075+0.1+0.1</f>
        <v>1.55</v>
      </c>
      <c r="H4" s="8">
        <v>1.2</v>
      </c>
      <c r="I4" s="8">
        <v>1.2</v>
      </c>
      <c r="J4" s="61">
        <f>E4*F4*G4*H4*I4</f>
        <v>4.4639999999999995</v>
      </c>
      <c r="K4" s="69">
        <v>80</v>
      </c>
      <c r="L4" s="78">
        <f>J4*K4</f>
        <v>357.11999999999995</v>
      </c>
    </row>
    <row r="5" spans="2:12" ht="27.75" x14ac:dyDescent="0.2">
      <c r="B5" s="6" t="s">
        <v>12</v>
      </c>
      <c r="C5" s="7" t="s">
        <v>13</v>
      </c>
      <c r="D5" s="7" t="s">
        <v>11</v>
      </c>
      <c r="E5" s="8">
        <v>1</v>
      </c>
      <c r="F5" s="8">
        <v>2</v>
      </c>
      <c r="G5" s="8">
        <f>3.35-N5-N5</f>
        <v>3.35</v>
      </c>
      <c r="H5" s="8">
        <v>0.8</v>
      </c>
      <c r="I5" s="8">
        <v>0.6</v>
      </c>
      <c r="J5" s="61">
        <f>E5*F5*G5*H5*I5</f>
        <v>3.2160000000000002</v>
      </c>
      <c r="K5" s="67">
        <v>80</v>
      </c>
      <c r="L5" s="79">
        <f t="shared" ref="L5:L37" si="0">J5*K5</f>
        <v>257.28000000000003</v>
      </c>
    </row>
    <row r="6" spans="2:12" x14ac:dyDescent="0.2">
      <c r="B6" s="9"/>
      <c r="C6" s="10"/>
      <c r="D6" s="10"/>
      <c r="E6" s="10"/>
      <c r="F6" s="10"/>
      <c r="G6" s="10"/>
      <c r="H6" s="10"/>
      <c r="I6" s="11" t="s">
        <v>14</v>
      </c>
      <c r="J6" s="58">
        <f>SUM(J4:J5)</f>
        <v>7.68</v>
      </c>
      <c r="K6" s="67"/>
      <c r="L6" s="79"/>
    </row>
    <row r="7" spans="2:12" ht="54.75" x14ac:dyDescent="0.2">
      <c r="B7" s="6" t="s">
        <v>15</v>
      </c>
      <c r="C7" s="7" t="s">
        <v>16</v>
      </c>
      <c r="D7" s="7" t="s">
        <v>17</v>
      </c>
      <c r="E7" s="8">
        <v>1</v>
      </c>
      <c r="F7" s="8">
        <v>2</v>
      </c>
      <c r="G7" s="8">
        <f>1.2+0.075+0.075+0.1+0.1-0.1</f>
        <v>1.45</v>
      </c>
      <c r="H7" s="8">
        <f>1.2-0.1</f>
        <v>1.0999999999999999</v>
      </c>
      <c r="I7" s="8"/>
      <c r="J7" s="61">
        <f>E7*F7*G7*H7</f>
        <v>3.1899999999999995</v>
      </c>
      <c r="K7" s="67">
        <v>12</v>
      </c>
      <c r="L7" s="79">
        <f t="shared" si="0"/>
        <v>38.279999999999994</v>
      </c>
    </row>
    <row r="8" spans="2:12" ht="41.25" x14ac:dyDescent="0.2">
      <c r="B8" s="6" t="s">
        <v>18</v>
      </c>
      <c r="C8" s="7" t="s">
        <v>19</v>
      </c>
      <c r="D8" s="7" t="s">
        <v>17</v>
      </c>
      <c r="E8" s="8">
        <v>1</v>
      </c>
      <c r="F8" s="8">
        <v>2</v>
      </c>
      <c r="G8" s="8">
        <f>3.35-N8-N8</f>
        <v>3.35</v>
      </c>
      <c r="H8" s="8">
        <f>0.8-0.1</f>
        <v>0.70000000000000007</v>
      </c>
      <c r="I8" s="8"/>
      <c r="J8" s="61">
        <f>E8*F8*G8*H8</f>
        <v>4.6900000000000004</v>
      </c>
      <c r="K8" s="69">
        <v>12</v>
      </c>
      <c r="L8" s="78">
        <f t="shared" si="0"/>
        <v>56.28</v>
      </c>
    </row>
    <row r="9" spans="2:12" x14ac:dyDescent="0.2">
      <c r="B9" s="9"/>
      <c r="C9" s="10"/>
      <c r="D9" s="10"/>
      <c r="E9" s="10"/>
      <c r="F9" s="10"/>
      <c r="G9" s="10"/>
      <c r="H9" s="10"/>
      <c r="I9" s="11" t="s">
        <v>20</v>
      </c>
      <c r="J9" s="58">
        <f>SUM(J7:J8)</f>
        <v>7.88</v>
      </c>
      <c r="K9" s="67"/>
      <c r="L9" s="79"/>
    </row>
    <row r="10" spans="2:12" ht="27.75" x14ac:dyDescent="0.2">
      <c r="B10" s="6" t="s">
        <v>21</v>
      </c>
      <c r="C10" s="7" t="s">
        <v>22</v>
      </c>
      <c r="D10" s="7" t="s">
        <v>11</v>
      </c>
      <c r="E10" s="8">
        <v>1</v>
      </c>
      <c r="F10" s="8">
        <v>2</v>
      </c>
      <c r="G10" s="8">
        <f>G4-0.23</f>
        <v>1.32</v>
      </c>
      <c r="H10" s="8">
        <f>0.45*2</f>
        <v>0.9</v>
      </c>
      <c r="I10" s="8">
        <v>0.15</v>
      </c>
      <c r="J10" s="61">
        <f>E10*F10*G10*H10*I10</f>
        <v>0.35640000000000005</v>
      </c>
      <c r="K10" s="67">
        <v>100</v>
      </c>
      <c r="L10" s="79">
        <f t="shared" si="0"/>
        <v>35.640000000000008</v>
      </c>
    </row>
    <row r="11" spans="2:12" x14ac:dyDescent="0.2">
      <c r="B11" s="9"/>
      <c r="C11" s="10"/>
      <c r="D11" s="10"/>
      <c r="E11" s="10"/>
      <c r="F11" s="10"/>
      <c r="G11" s="10"/>
      <c r="H11" s="10"/>
      <c r="I11" s="11" t="s">
        <v>23</v>
      </c>
      <c r="J11" s="58">
        <f>SUM(J10)</f>
        <v>0.35640000000000005</v>
      </c>
      <c r="K11" s="67"/>
      <c r="L11" s="79"/>
    </row>
    <row r="12" spans="2:12" ht="27.75" x14ac:dyDescent="0.2">
      <c r="B12" s="6" t="s">
        <v>24</v>
      </c>
      <c r="C12" s="7" t="s">
        <v>25</v>
      </c>
      <c r="D12" s="7" t="s">
        <v>11</v>
      </c>
      <c r="E12" s="8">
        <v>1</v>
      </c>
      <c r="F12" s="8">
        <v>2</v>
      </c>
      <c r="G12" s="8">
        <f>3.35*2</f>
        <v>6.7</v>
      </c>
      <c r="H12" s="8">
        <v>0.2</v>
      </c>
      <c r="I12" s="8">
        <v>0.8</v>
      </c>
      <c r="J12" s="61">
        <f>E12*F12*G12*H12*I12</f>
        <v>2.1440000000000001</v>
      </c>
      <c r="K12" s="69">
        <v>100</v>
      </c>
      <c r="L12" s="78">
        <f t="shared" si="0"/>
        <v>214.4</v>
      </c>
    </row>
    <row r="13" spans="2:12" x14ac:dyDescent="0.2">
      <c r="B13" s="9"/>
      <c r="C13" s="10"/>
      <c r="D13" s="10"/>
      <c r="E13" s="10"/>
      <c r="F13" s="10"/>
      <c r="G13" s="10"/>
      <c r="H13" s="10"/>
      <c r="I13" s="11" t="s">
        <v>26</v>
      </c>
      <c r="J13" s="58">
        <f>SUM(J12)</f>
        <v>2.1440000000000001</v>
      </c>
      <c r="K13" s="67"/>
      <c r="L13" s="79"/>
    </row>
    <row r="14" spans="2:12" x14ac:dyDescent="0.2">
      <c r="B14" s="3" t="s">
        <v>27</v>
      </c>
      <c r="C14" s="12"/>
      <c r="D14" s="12"/>
      <c r="E14" s="12"/>
      <c r="F14" s="12"/>
      <c r="G14" s="12"/>
      <c r="H14" s="12"/>
      <c r="I14" s="12"/>
      <c r="J14" s="62"/>
      <c r="K14" s="67"/>
      <c r="L14" s="79"/>
    </row>
    <row r="15" spans="2:12" ht="27.75" x14ac:dyDescent="0.2">
      <c r="B15" s="6" t="s">
        <v>28</v>
      </c>
      <c r="C15" s="7" t="s">
        <v>29</v>
      </c>
      <c r="D15" s="7" t="s">
        <v>11</v>
      </c>
      <c r="E15" s="8">
        <v>1</v>
      </c>
      <c r="F15" s="8">
        <v>2</v>
      </c>
      <c r="G15" s="8">
        <v>1.35</v>
      </c>
      <c r="H15" s="8">
        <v>0.97499999999999998</v>
      </c>
      <c r="I15" s="8">
        <v>0.1</v>
      </c>
      <c r="J15" s="61">
        <f>E15*F15*G15*H15*I15</f>
        <v>0.26325000000000004</v>
      </c>
      <c r="K15" s="67">
        <v>4800</v>
      </c>
      <c r="L15" s="79">
        <f t="shared" si="0"/>
        <v>1263.6000000000001</v>
      </c>
    </row>
    <row r="16" spans="2:12" ht="27.75" x14ac:dyDescent="0.2">
      <c r="B16" s="6" t="s">
        <v>30</v>
      </c>
      <c r="C16" s="7" t="s">
        <v>31</v>
      </c>
      <c r="D16" s="7" t="s">
        <v>11</v>
      </c>
      <c r="E16" s="8">
        <v>1</v>
      </c>
      <c r="F16" s="8">
        <v>2</v>
      </c>
      <c r="G16" s="8">
        <f>3.35-0.23</f>
        <v>3.12</v>
      </c>
      <c r="H16" s="8">
        <v>0.6</v>
      </c>
      <c r="I16" s="8">
        <v>0.1</v>
      </c>
      <c r="J16" s="61">
        <f>E16*F16*G16*H16*I16</f>
        <v>0.37440000000000001</v>
      </c>
      <c r="K16" s="69">
        <v>4800</v>
      </c>
      <c r="L16" s="78">
        <f t="shared" si="0"/>
        <v>1797.1200000000001</v>
      </c>
    </row>
    <row r="17" spans="2:16" x14ac:dyDescent="0.2">
      <c r="B17" s="9"/>
      <c r="C17" s="10"/>
      <c r="D17" s="10"/>
      <c r="E17" s="10"/>
      <c r="F17" s="10"/>
      <c r="G17" s="10"/>
      <c r="H17" s="10"/>
      <c r="I17" s="11" t="s">
        <v>32</v>
      </c>
      <c r="J17" s="58">
        <f>SUM(J15:J16)</f>
        <v>0.63765000000000005</v>
      </c>
      <c r="K17" s="67"/>
      <c r="L17" s="79"/>
    </row>
    <row r="18" spans="2:16" ht="27.75" x14ac:dyDescent="0.2">
      <c r="B18" s="6" t="s">
        <v>33</v>
      </c>
      <c r="C18" s="7" t="s">
        <v>34</v>
      </c>
      <c r="D18" s="7" t="s">
        <v>11</v>
      </c>
      <c r="E18" s="8">
        <v>1</v>
      </c>
      <c r="F18" s="8">
        <v>2</v>
      </c>
      <c r="G18" s="8">
        <v>1.2</v>
      </c>
      <c r="H18" s="8">
        <v>0.9</v>
      </c>
      <c r="I18" s="8">
        <v>0.35</v>
      </c>
      <c r="J18" s="61">
        <f>E18*F18*G18*H18*I18</f>
        <v>0.75600000000000001</v>
      </c>
      <c r="K18" s="67">
        <v>5200</v>
      </c>
      <c r="L18" s="79">
        <f t="shared" si="0"/>
        <v>3931.2</v>
      </c>
    </row>
    <row r="19" spans="2:16" ht="27.75" x14ac:dyDescent="0.2">
      <c r="B19" s="6" t="s">
        <v>36</v>
      </c>
      <c r="C19" s="7" t="s">
        <v>37</v>
      </c>
      <c r="D19" s="7" t="s">
        <v>11</v>
      </c>
      <c r="E19" s="8">
        <v>1</v>
      </c>
      <c r="F19" s="8">
        <v>2</v>
      </c>
      <c r="G19" s="8">
        <f>3.35-0.23</f>
        <v>3.12</v>
      </c>
      <c r="H19" s="8">
        <v>0.23</v>
      </c>
      <c r="I19" s="8">
        <v>0.15</v>
      </c>
      <c r="J19" s="61">
        <f>E19*F19*G19*H19*I19</f>
        <v>0.21528</v>
      </c>
      <c r="K19" s="67">
        <v>5200</v>
      </c>
      <c r="L19" s="79">
        <f t="shared" si="0"/>
        <v>1119.4559999999999</v>
      </c>
    </row>
    <row r="20" spans="2:16" x14ac:dyDescent="0.2">
      <c r="B20" s="9"/>
      <c r="C20" s="10"/>
      <c r="D20" s="10"/>
      <c r="E20" s="10"/>
      <c r="F20" s="10"/>
      <c r="G20" s="10"/>
      <c r="H20" s="10"/>
      <c r="I20" s="11" t="s">
        <v>38</v>
      </c>
      <c r="J20" s="58">
        <f>SUM(J18:J19)</f>
        <v>0.97128000000000003</v>
      </c>
      <c r="K20" s="69"/>
      <c r="L20" s="78"/>
    </row>
    <row r="21" spans="2:16" x14ac:dyDescent="0.2">
      <c r="B21" s="3" t="s">
        <v>39</v>
      </c>
      <c r="C21" s="12"/>
      <c r="D21" s="12"/>
      <c r="E21" s="12"/>
      <c r="F21" s="12"/>
      <c r="G21" s="12"/>
      <c r="H21" s="12"/>
      <c r="I21" s="12"/>
      <c r="J21" s="62"/>
      <c r="K21" s="67"/>
      <c r="L21" s="79"/>
    </row>
    <row r="22" spans="2:16" ht="27.75" x14ac:dyDescent="0.2">
      <c r="B22" s="13">
        <v>3.1</v>
      </c>
      <c r="C22" s="14" t="s">
        <v>40</v>
      </c>
      <c r="D22" s="15"/>
      <c r="E22" s="16"/>
      <c r="F22" s="16"/>
      <c r="G22" s="16"/>
      <c r="H22" s="16"/>
      <c r="I22" s="16"/>
      <c r="J22" s="63"/>
      <c r="K22" s="67"/>
      <c r="L22" s="79"/>
    </row>
    <row r="23" spans="2:16" x14ac:dyDescent="0.2">
      <c r="B23" s="13" t="s">
        <v>41</v>
      </c>
      <c r="C23" s="7" t="s">
        <v>42</v>
      </c>
      <c r="D23" s="17" t="s">
        <v>17</v>
      </c>
      <c r="E23" s="18">
        <v>1</v>
      </c>
      <c r="F23" s="18">
        <v>2</v>
      </c>
      <c r="G23" s="18">
        <f>2*(G15+H15)</f>
        <v>4.6500000000000004</v>
      </c>
      <c r="H23" s="18"/>
      <c r="I23" s="18">
        <v>0.1</v>
      </c>
      <c r="J23" s="64">
        <f>E23*F23*G23*I23</f>
        <v>0.93000000000000016</v>
      </c>
      <c r="K23" s="67">
        <v>60</v>
      </c>
      <c r="L23" s="79">
        <f t="shared" si="0"/>
        <v>55.800000000000011</v>
      </c>
    </row>
    <row r="24" spans="2:16" x14ac:dyDescent="0.2">
      <c r="B24" s="13" t="s">
        <v>43</v>
      </c>
      <c r="C24" s="7" t="s">
        <v>44</v>
      </c>
      <c r="D24" s="7" t="s">
        <v>17</v>
      </c>
      <c r="E24" s="8">
        <v>1</v>
      </c>
      <c r="F24" s="8">
        <v>2</v>
      </c>
      <c r="G24" s="8">
        <f>G16*2</f>
        <v>6.24</v>
      </c>
      <c r="H24" s="8"/>
      <c r="I24" s="8">
        <v>0.1</v>
      </c>
      <c r="J24" s="61">
        <v>0.42</v>
      </c>
      <c r="K24" s="69">
        <v>60</v>
      </c>
      <c r="L24" s="78">
        <f t="shared" si="0"/>
        <v>25.2</v>
      </c>
    </row>
    <row r="25" spans="2:16" x14ac:dyDescent="0.2">
      <c r="B25" s="13" t="s">
        <v>45</v>
      </c>
      <c r="C25" s="7" t="s">
        <v>46</v>
      </c>
      <c r="D25" s="7" t="s">
        <v>17</v>
      </c>
      <c r="E25" s="8">
        <v>1</v>
      </c>
      <c r="F25" s="8">
        <v>2</v>
      </c>
      <c r="G25" s="8">
        <f>2*(G18+H18)</f>
        <v>4.2</v>
      </c>
      <c r="H25" s="8"/>
      <c r="I25" s="8">
        <v>0.35</v>
      </c>
      <c r="J25" s="61">
        <v>1.25</v>
      </c>
      <c r="K25" s="67">
        <v>200</v>
      </c>
      <c r="L25" s="79">
        <f t="shared" si="0"/>
        <v>250</v>
      </c>
    </row>
    <row r="26" spans="2:16" x14ac:dyDescent="0.2">
      <c r="B26" s="13" t="s">
        <v>48</v>
      </c>
      <c r="C26" s="7" t="s">
        <v>78</v>
      </c>
      <c r="D26" s="7" t="s">
        <v>17</v>
      </c>
      <c r="E26" s="8">
        <v>1</v>
      </c>
      <c r="F26" s="8">
        <v>2</v>
      </c>
      <c r="G26" s="8">
        <f>G19*2</f>
        <v>6.24</v>
      </c>
      <c r="H26" s="8"/>
      <c r="I26" s="8">
        <v>0.15</v>
      </c>
      <c r="J26" s="61">
        <v>0.21</v>
      </c>
      <c r="K26" s="67">
        <v>200</v>
      </c>
      <c r="L26" s="79">
        <f t="shared" si="0"/>
        <v>42</v>
      </c>
    </row>
    <row r="27" spans="2:16" x14ac:dyDescent="0.2">
      <c r="B27" s="9"/>
      <c r="C27" s="10"/>
      <c r="D27" s="10"/>
      <c r="E27" s="10"/>
      <c r="F27" s="10"/>
      <c r="G27" s="10"/>
      <c r="H27" s="10"/>
      <c r="I27" s="11" t="s">
        <v>49</v>
      </c>
      <c r="J27" s="58">
        <f>SUM(J23:J26)</f>
        <v>2.81</v>
      </c>
      <c r="K27" s="67"/>
      <c r="L27" s="79"/>
    </row>
    <row r="28" spans="2:16" x14ac:dyDescent="0.2">
      <c r="B28" s="3" t="s">
        <v>50</v>
      </c>
      <c r="C28" s="12"/>
      <c r="D28" s="12"/>
      <c r="E28" s="12"/>
      <c r="F28" s="12"/>
      <c r="G28" s="12"/>
      <c r="H28" s="12"/>
      <c r="I28" s="12"/>
      <c r="J28" s="62"/>
      <c r="K28" s="69"/>
      <c r="L28" s="78"/>
    </row>
    <row r="29" spans="2:16" ht="41.25" x14ac:dyDescent="0.2">
      <c r="B29" s="13">
        <v>4.0999999999999996</v>
      </c>
      <c r="C29" s="7" t="s">
        <v>51</v>
      </c>
      <c r="D29" s="15"/>
      <c r="E29" s="16"/>
      <c r="F29" s="16"/>
      <c r="G29" s="16"/>
      <c r="H29" s="16"/>
      <c r="I29" s="16"/>
      <c r="J29" s="63"/>
      <c r="K29" s="67"/>
      <c r="L29" s="79"/>
      <c r="M29">
        <f>460*5</f>
        <v>2300</v>
      </c>
      <c r="N29">
        <f>1.14*35*52</f>
        <v>2074.7999999999997</v>
      </c>
      <c r="O29">
        <f>3*300</f>
        <v>900</v>
      </c>
      <c r="P29">
        <f>SUM(M29:O29)</f>
        <v>5274.7999999999993</v>
      </c>
    </row>
    <row r="30" spans="2:16" x14ac:dyDescent="0.2">
      <c r="B30" s="13" t="s">
        <v>52</v>
      </c>
      <c r="C30" s="19" t="s">
        <v>53</v>
      </c>
      <c r="D30" s="19" t="s">
        <v>11</v>
      </c>
      <c r="E30" s="20">
        <v>1</v>
      </c>
      <c r="F30" s="20">
        <v>2</v>
      </c>
      <c r="G30" s="20">
        <f>3.35-0.23</f>
        <v>3.12</v>
      </c>
      <c r="H30" s="20">
        <v>0.46</v>
      </c>
      <c r="I30" s="20">
        <v>0.15</v>
      </c>
      <c r="J30" s="61">
        <f>E30*F30*G30*H30*I30</f>
        <v>0.43056</v>
      </c>
      <c r="K30" s="67">
        <v>5800</v>
      </c>
      <c r="L30" s="79">
        <f t="shared" si="0"/>
        <v>2497.248</v>
      </c>
    </row>
    <row r="31" spans="2:16" x14ac:dyDescent="0.2">
      <c r="B31" s="13" t="s">
        <v>54</v>
      </c>
      <c r="C31" s="19" t="s">
        <v>55</v>
      </c>
      <c r="D31" s="19" t="s">
        <v>11</v>
      </c>
      <c r="E31" s="20">
        <v>1</v>
      </c>
      <c r="F31" s="20">
        <v>2</v>
      </c>
      <c r="G31" s="20">
        <f>3.35-0.23</f>
        <v>3.12</v>
      </c>
      <c r="H31" s="20">
        <v>0.34499999999999997</v>
      </c>
      <c r="I31" s="20">
        <v>0.15</v>
      </c>
      <c r="J31" s="61">
        <f>E31*F31*G31*H31*I31</f>
        <v>0.32291999999999998</v>
      </c>
      <c r="K31" s="67">
        <v>6000</v>
      </c>
      <c r="L31" s="79">
        <f t="shared" si="0"/>
        <v>1937.52</v>
      </c>
    </row>
    <row r="32" spans="2:16" ht="27.75" x14ac:dyDescent="0.2">
      <c r="B32" s="13" t="s">
        <v>56</v>
      </c>
      <c r="C32" s="19" t="s">
        <v>57</v>
      </c>
      <c r="D32" s="19" t="s">
        <v>11</v>
      </c>
      <c r="E32" s="20">
        <v>1</v>
      </c>
      <c r="F32" s="20">
        <v>2</v>
      </c>
      <c r="G32" s="20">
        <f>3.35-0.23</f>
        <v>3.12</v>
      </c>
      <c r="H32" s="20">
        <v>0.23</v>
      </c>
      <c r="I32" s="20">
        <v>0.65</v>
      </c>
      <c r="J32" s="61">
        <f>E32*F32*G32*H32*I32</f>
        <v>0.93288000000000004</v>
      </c>
      <c r="K32" s="69">
        <v>6200</v>
      </c>
      <c r="L32" s="78">
        <f t="shared" si="0"/>
        <v>5783.8560000000007</v>
      </c>
    </row>
    <row r="33" spans="2:12" x14ac:dyDescent="0.2">
      <c r="B33" s="9"/>
      <c r="C33" s="10"/>
      <c r="D33" s="10"/>
      <c r="E33" s="10"/>
      <c r="F33" s="10"/>
      <c r="G33" s="10"/>
      <c r="H33" s="10"/>
      <c r="I33" s="11" t="s">
        <v>58</v>
      </c>
      <c r="J33" s="58">
        <v>2.91</v>
      </c>
      <c r="K33" s="67"/>
      <c r="L33" s="79"/>
    </row>
    <row r="34" spans="2:12" x14ac:dyDescent="0.2">
      <c r="B34" s="9"/>
      <c r="C34" s="10"/>
      <c r="D34" s="10"/>
      <c r="E34" s="10"/>
      <c r="F34" s="10"/>
      <c r="G34" s="10"/>
      <c r="H34" s="10"/>
      <c r="I34" s="11" t="s">
        <v>59</v>
      </c>
      <c r="J34" s="58">
        <v>0.68</v>
      </c>
      <c r="K34" s="67"/>
      <c r="L34" s="79"/>
    </row>
    <row r="35" spans="2:12" x14ac:dyDescent="0.2">
      <c r="B35" s="3" t="s">
        <v>60</v>
      </c>
      <c r="C35" s="12"/>
      <c r="D35" s="12"/>
      <c r="E35" s="12"/>
      <c r="F35" s="12"/>
      <c r="G35" s="12"/>
      <c r="H35" s="12"/>
      <c r="I35" s="12"/>
      <c r="J35" s="62"/>
      <c r="K35" s="67"/>
      <c r="L35" s="79"/>
    </row>
    <row r="36" spans="2:12" x14ac:dyDescent="0.2">
      <c r="B36" s="3" t="s">
        <v>61</v>
      </c>
      <c r="C36" s="4"/>
      <c r="D36" s="4"/>
      <c r="E36" s="4"/>
      <c r="F36" s="4"/>
      <c r="G36" s="4"/>
      <c r="H36" s="4"/>
      <c r="I36" s="4"/>
      <c r="J36" s="60"/>
      <c r="K36" s="69"/>
      <c r="L36" s="78"/>
    </row>
    <row r="37" spans="2:12" x14ac:dyDescent="0.2">
      <c r="B37" s="21">
        <v>6.1</v>
      </c>
      <c r="C37" s="23" t="s">
        <v>62</v>
      </c>
      <c r="D37" s="23" t="s">
        <v>63</v>
      </c>
      <c r="E37" s="20"/>
      <c r="F37" s="20"/>
      <c r="G37" s="20"/>
      <c r="H37" s="22"/>
      <c r="I37" s="20"/>
      <c r="J37" s="57">
        <v>94.23</v>
      </c>
      <c r="K37" s="67">
        <v>60</v>
      </c>
      <c r="L37" s="79">
        <f t="shared" si="0"/>
        <v>5653.8</v>
      </c>
    </row>
    <row r="38" spans="2:12" ht="15.75" thickBot="1" x14ac:dyDescent="0.25">
      <c r="B38" s="81"/>
      <c r="C38" s="82"/>
      <c r="D38" s="82"/>
      <c r="E38" s="82"/>
      <c r="F38" s="82"/>
      <c r="G38" s="82"/>
      <c r="H38" s="82"/>
      <c r="I38" s="83" t="s">
        <v>64</v>
      </c>
      <c r="J38" s="88">
        <f>SUM(J37)</f>
        <v>94.23</v>
      </c>
      <c r="K38" s="74"/>
      <c r="L38" s="87">
        <f>SUM(L4:L37)</f>
        <v>25315.8</v>
      </c>
    </row>
    <row r="39" spans="2:12" ht="15.75" thickBot="1" x14ac:dyDescent="0.25">
      <c r="B39" s="85"/>
      <c r="C39" s="86"/>
      <c r="D39" s="86"/>
      <c r="E39" s="86"/>
      <c r="F39" s="86"/>
      <c r="G39" s="86"/>
      <c r="H39" s="86"/>
      <c r="I39" s="86"/>
      <c r="J39" s="89"/>
      <c r="K39" s="80" t="s">
        <v>81</v>
      </c>
      <c r="L39" s="90">
        <f>L38/6.7</f>
        <v>3778.4776119402982</v>
      </c>
    </row>
  </sheetData>
  <mergeCells count="1">
    <mergeCell ref="B1:J1"/>
  </mergeCells>
  <conditionalFormatting sqref="L1:L1048576">
    <cfRule type="cellIs" dxfId="0" priority="1" operator="equal">
      <formula>0</formula>
    </cfRule>
  </conditionalFormatting>
  <printOptions horizontalCentered="1"/>
  <pageMargins left="0.2" right="0.2" top="0.25" bottom="0.25" header="0.05" footer="0.05"/>
  <pageSetup paperSize="9" scale="8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G13"/>
  <sheetViews>
    <sheetView tabSelected="1" workbookViewId="0">
      <selection activeCell="L15" sqref="L15"/>
    </sheetView>
  </sheetViews>
  <sheetFormatPr defaultRowHeight="15" x14ac:dyDescent="0.2"/>
  <sheetData>
    <row r="1" spans="4:7" x14ac:dyDescent="0.2">
      <c r="D1" t="s">
        <v>87</v>
      </c>
      <c r="E1" t="s">
        <v>86</v>
      </c>
      <c r="F1" t="s">
        <v>88</v>
      </c>
      <c r="G1" t="s">
        <v>89</v>
      </c>
    </row>
    <row r="2" spans="4:7" x14ac:dyDescent="0.2">
      <c r="D2">
        <v>785</v>
      </c>
      <c r="E2">
        <v>1320</v>
      </c>
      <c r="F2">
        <f>E2-D2</f>
        <v>535</v>
      </c>
      <c r="G2">
        <f>F2+1500</f>
        <v>2035</v>
      </c>
    </row>
    <row r="3" spans="4:7" x14ac:dyDescent="0.2">
      <c r="D3">
        <v>785</v>
      </c>
      <c r="E3">
        <v>1060</v>
      </c>
      <c r="F3">
        <f t="shared" ref="F3:F13" si="0">E3-D3</f>
        <v>275</v>
      </c>
      <c r="G3">
        <f t="shared" ref="G3:G13" si="1">F3+1500</f>
        <v>1775</v>
      </c>
    </row>
    <row r="4" spans="4:7" x14ac:dyDescent="0.2">
      <c r="D4">
        <v>785</v>
      </c>
      <c r="E4">
        <v>1360</v>
      </c>
      <c r="F4">
        <f t="shared" si="0"/>
        <v>575</v>
      </c>
      <c r="G4">
        <f t="shared" si="1"/>
        <v>2075</v>
      </c>
    </row>
    <row r="5" spans="4:7" x14ac:dyDescent="0.2">
      <c r="D5">
        <v>785</v>
      </c>
      <c r="E5">
        <v>4040</v>
      </c>
      <c r="F5">
        <f t="shared" si="0"/>
        <v>3255</v>
      </c>
      <c r="G5">
        <f t="shared" si="1"/>
        <v>4755</v>
      </c>
    </row>
    <row r="6" spans="4:7" x14ac:dyDescent="0.2">
      <c r="D6">
        <v>785</v>
      </c>
      <c r="E6">
        <v>3790</v>
      </c>
      <c r="F6">
        <f t="shared" si="0"/>
        <v>3005</v>
      </c>
      <c r="G6">
        <f t="shared" si="1"/>
        <v>4505</v>
      </c>
    </row>
    <row r="7" spans="4:7" x14ac:dyDescent="0.2">
      <c r="D7">
        <v>785</v>
      </c>
      <c r="E7">
        <v>3565</v>
      </c>
      <c r="F7">
        <f t="shared" si="0"/>
        <v>2780</v>
      </c>
      <c r="G7">
        <f t="shared" si="1"/>
        <v>4280</v>
      </c>
    </row>
    <row r="8" spans="4:7" x14ac:dyDescent="0.2">
      <c r="D8">
        <v>785</v>
      </c>
      <c r="E8">
        <v>3630</v>
      </c>
      <c r="F8">
        <f t="shared" si="0"/>
        <v>2845</v>
      </c>
      <c r="G8">
        <f t="shared" si="1"/>
        <v>4345</v>
      </c>
    </row>
    <row r="9" spans="4:7" x14ac:dyDescent="0.2">
      <c r="D9">
        <v>785</v>
      </c>
      <c r="E9">
        <v>3730</v>
      </c>
      <c r="F9">
        <f t="shared" si="0"/>
        <v>2945</v>
      </c>
      <c r="G9">
        <f t="shared" si="1"/>
        <v>4445</v>
      </c>
    </row>
    <row r="10" spans="4:7" x14ac:dyDescent="0.2">
      <c r="D10">
        <v>785</v>
      </c>
      <c r="E10">
        <v>4190</v>
      </c>
      <c r="F10">
        <f t="shared" si="0"/>
        <v>3405</v>
      </c>
      <c r="G10">
        <f t="shared" si="1"/>
        <v>4905</v>
      </c>
    </row>
    <row r="11" spans="4:7" x14ac:dyDescent="0.2">
      <c r="D11">
        <v>785</v>
      </c>
      <c r="E11">
        <v>4530</v>
      </c>
      <c r="F11">
        <f t="shared" si="0"/>
        <v>3745</v>
      </c>
      <c r="G11">
        <f t="shared" si="1"/>
        <v>5245</v>
      </c>
    </row>
    <row r="12" spans="4:7" x14ac:dyDescent="0.2">
      <c r="D12">
        <v>785</v>
      </c>
      <c r="E12">
        <v>4685</v>
      </c>
      <c r="F12">
        <f t="shared" si="0"/>
        <v>3900</v>
      </c>
      <c r="G12">
        <f t="shared" si="1"/>
        <v>5400</v>
      </c>
    </row>
    <row r="13" spans="4:7" x14ac:dyDescent="0.2">
      <c r="D13">
        <v>785</v>
      </c>
      <c r="E13">
        <v>5600</v>
      </c>
      <c r="F13">
        <f t="shared" si="0"/>
        <v>4815</v>
      </c>
      <c r="G13">
        <f t="shared" si="1"/>
        <v>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BOQ_RW_as-Arch</vt:lpstr>
      <vt:lpstr>BOQ_RW_as-Our</vt:lpstr>
      <vt:lpstr>BOQ_RW_as-Tie_Beam</vt:lpstr>
      <vt:lpstr>Wall_Ded_With_RW</vt:lpstr>
      <vt:lpstr>Reduce_Level</vt:lpstr>
      <vt:lpstr>Wall_Ded_With_RW!Print_Area</vt:lpstr>
      <vt:lpstr>Wall_Ded_With_RW!Print_Titles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2026-02-20T08:30:04Z</dcterms:created>
  <dcterms:modified xsi:type="dcterms:W3CDTF">2026-02-22T12:25:38Z</dcterms:modified>
</cp:coreProperties>
</file>