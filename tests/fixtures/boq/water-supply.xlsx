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/>
  <xr:revisionPtr revIDLastSave="0" documentId="11_EB55F0A74F8BBFF980AFAC19C74134E5BF034D4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Q - Water Suppl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50" i="1"/>
  <c r="H48" i="1"/>
  <c r="H47" i="1"/>
  <c r="H46" i="1"/>
  <c r="H45" i="1"/>
  <c r="H44" i="1"/>
  <c r="H43" i="1"/>
  <c r="H42" i="1"/>
  <c r="H41" i="1"/>
  <c r="H39" i="1"/>
  <c r="H38" i="1"/>
  <c r="H37" i="1"/>
  <c r="H36" i="1"/>
  <c r="H33" i="1"/>
  <c r="H32" i="1"/>
  <c r="H31" i="1"/>
  <c r="H30" i="1"/>
  <c r="H29" i="1"/>
  <c r="H28" i="1"/>
  <c r="H27" i="1"/>
  <c r="H26" i="1"/>
  <c r="H25" i="1"/>
  <c r="H52" i="1"/>
  <c r="F52" i="1"/>
  <c r="G50" i="1"/>
  <c r="G48" i="1"/>
  <c r="G47" i="1"/>
  <c r="G46" i="1"/>
  <c r="G45" i="1"/>
  <c r="G44" i="1"/>
  <c r="G43" i="1"/>
  <c r="G42" i="1"/>
  <c r="G41" i="1"/>
  <c r="G39" i="1"/>
  <c r="G38" i="1"/>
  <c r="G37" i="1"/>
  <c r="G36" i="1"/>
  <c r="G33" i="1"/>
  <c r="G32" i="1"/>
  <c r="G31" i="1"/>
  <c r="G30" i="1"/>
  <c r="G29" i="1"/>
  <c r="G28" i="1"/>
  <c r="G27" i="1"/>
  <c r="G26" i="1"/>
  <c r="G25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<sst xmlns="http://schemas.openxmlformats.org/spreadsheetml/2006/main" count="169" uniqueCount="96">
  <si>
    <t>BILL OF QUANTITIES — WATER SUPPLY PIPE LAYING WORKS</t>
  </si>
  <si>
    <t>Project:</t>
  </si>
  <si>
    <t>Prepared by:</t>
  </si>
  <si>
    <t>HSV Developers</t>
  </si>
  <si>
    <t>Layout Drg No:</t>
  </si>
  <si>
    <t>EX-3  |  Date: 01.07.25 (Rev R1: 25.09.2025)</t>
  </si>
  <si>
    <t>Date of BOQ:</t>
  </si>
  <si>
    <t>18-Apr-2026</t>
  </si>
  <si>
    <t xml:space="preserve">  Trench depth – Main line (HDPE 110 mm)  [mm]</t>
  </si>
  <si>
    <t xml:space="preserve">  Trench depth – Sector line (HDPE 90 mm)  [mm]</t>
  </si>
  <si>
    <t xml:space="preserve">  Trench depth – Service/Connection line (CPVC 25 mm)  [mm]</t>
  </si>
  <si>
    <t xml:space="preserve">  Trench width – Main / Sector (HDPE 90–110)  [mm]</t>
  </si>
  <si>
    <t xml:space="preserve">  Trench width – Service connection (CPVC 25)  [mm]</t>
  </si>
  <si>
    <t xml:space="preserve">  Contingency %  [%]</t>
  </si>
  <si>
    <t xml:space="preserve">  GST %  [%]</t>
  </si>
  <si>
    <t>Sr.No.</t>
  </si>
  <si>
    <t>Description of Work</t>
  </si>
  <si>
    <t>Pipe Dia / Type</t>
  </si>
  <si>
    <t>Unit</t>
  </si>
  <si>
    <t>Qty
(Pipes)</t>
  </si>
  <si>
    <t>Length
(Rm)</t>
  </si>
  <si>
    <t>Depth
(m)</t>
  </si>
  <si>
    <t>Volume
(Cum)</t>
  </si>
  <si>
    <t>Remarks</t>
  </si>
  <si>
    <t xml:space="preserve">   BLOCK - A</t>
  </si>
  <si>
    <t xml:space="preserve">   A - Fresh Water Main Lines</t>
  </si>
  <si>
    <t>A.1.1</t>
  </si>
  <si>
    <t>9m Road: Pt 1-2, Side Green Area-3</t>
  </si>
  <si>
    <t>HDPE PE100 PN6 | 90mm NB (80mm ID)</t>
  </si>
  <si>
    <t>Rm</t>
  </si>
  <si>
    <t>Sector Line</t>
  </si>
  <si>
    <t>A.1.2</t>
  </si>
  <si>
    <t>9m &amp; 7.5+12m Road: Pt 0-4, Side Green Area-3 &amp; Plots A15-18</t>
  </si>
  <si>
    <t>HDPE PE100 PN6 | 110mm NB (100mm ID)</t>
  </si>
  <si>
    <t>Sector + Main</t>
  </si>
  <si>
    <t>A.1.3</t>
  </si>
  <si>
    <t>9m &amp; 12m Road: Pt 2-3, Side Plots A8-9-10</t>
  </si>
  <si>
    <t>A.1.4</t>
  </si>
  <si>
    <t>12m Road: Pt 3-4, Side Plots A10-13</t>
  </si>
  <si>
    <t>A.1.5</t>
  </si>
  <si>
    <t>12m &amp; 9m Road: Pt 8-7, Side Plots A24-A33</t>
  </si>
  <si>
    <t xml:space="preserve">   A - Fresh Water Service / Connection Lines</t>
  </si>
  <si>
    <t>A.2.1</t>
  </si>
  <si>
    <t>Line 7-4 to Sector Shopping &amp; Conv. Shops</t>
  </si>
  <si>
    <t>A.2.2</t>
  </si>
  <si>
    <t>Line 1-2 &amp; 2-3 to Plots A1 to A7 (7 nos.)</t>
  </si>
  <si>
    <t>CPVC 25mm with Fittings</t>
  </si>
  <si>
    <t>Connection Line</t>
  </si>
  <si>
    <t>A.2.3</t>
  </si>
  <si>
    <t>Line 2-3 to Plots A9 &amp; A8 (2 nos.)</t>
  </si>
  <si>
    <t>A.2.4</t>
  </si>
  <si>
    <t>Line 4-3 to Plots A10 to A13 (4 nos.)</t>
  </si>
  <si>
    <t>A.2.5</t>
  </si>
  <si>
    <t>Line 0-4 to Plots A14-15 (2 nos.)</t>
  </si>
  <si>
    <t>A.2.6</t>
  </si>
  <si>
    <t>Line 0-4 to Plots A16-17 (2 nos.)</t>
  </si>
  <si>
    <t>A.2.7</t>
  </si>
  <si>
    <t>Line 7-8 to Plots A21 to A23 (3 nos.)</t>
  </si>
  <si>
    <t>A.2.8</t>
  </si>
  <si>
    <t>Line 7-8 to Plots A24, A26-A33 (9 nos.)</t>
  </si>
  <si>
    <t>A.2.9</t>
  </si>
  <si>
    <t>Line 7-8 to Plot A25 (1 no.)</t>
  </si>
  <si>
    <t xml:space="preserve">   BLOCK - B</t>
  </si>
  <si>
    <t xml:space="preserve">   B - Fresh Water Main Lines</t>
  </si>
  <si>
    <t>B.1.1</t>
  </si>
  <si>
    <t>7.5m &amp; 9m Road: Pt 4-5, Side Plots B1-B5-B6</t>
  </si>
  <si>
    <t>B.1.2</t>
  </si>
  <si>
    <t>9m Road: Pt 5-6, Side Plots B13-B18</t>
  </si>
  <si>
    <t>B.1.3</t>
  </si>
  <si>
    <t>7.5m Road: Pt 6-7, Side Plots B13-B28</t>
  </si>
  <si>
    <t>B.1.4</t>
  </si>
  <si>
    <t>12m Road: Pt 4-7, Side Plots B1-B4 &amp; B19-B22</t>
  </si>
  <si>
    <t xml:space="preserve">   B - Fresh Water Service / Connection Lines</t>
  </si>
  <si>
    <t>B.2.1</t>
  </si>
  <si>
    <t>Line 5-4 to Plot B6 (1 no.)</t>
  </si>
  <si>
    <t>B.2.2</t>
  </si>
  <si>
    <t>Line 5-4 to Plots B7 &amp; B8 (2 nos.)</t>
  </si>
  <si>
    <t>B.2.3</t>
  </si>
  <si>
    <t>Line 7-4 to Plots B1-B4 &amp; B19-B22 (8 nos.)</t>
  </si>
  <si>
    <t>B.2.4</t>
  </si>
  <si>
    <t>Line 5-6 to Plots B9-B12 (4 nos.)</t>
  </si>
  <si>
    <t>B.2.5</t>
  </si>
  <si>
    <t>Line 5-6 to Plots B15-B18 (4 nos.)</t>
  </si>
  <si>
    <t>B.2.6</t>
  </si>
  <si>
    <t>Line 6-7 to Plots B13-B14 (2 nos.)</t>
  </si>
  <si>
    <t>B.2.7</t>
  </si>
  <si>
    <t>Line 7-6 to Plots B24-B28 (5 nos.)</t>
  </si>
  <si>
    <t>B.2.8</t>
  </si>
  <si>
    <t>Line 7-6 to Plot B23 (1 no.)</t>
  </si>
  <si>
    <t xml:space="preserve">   C - Internal Line : Borewell to UGT</t>
  </si>
  <si>
    <t>C.1</t>
  </si>
  <si>
    <t>Borewell to Underground Tank – Inlet Line</t>
  </si>
  <si>
    <t>Inlet Line</t>
  </si>
  <si>
    <t>TOTAL PIPE LENGTH (Rm)  &amp;  TOTAL EXCAVATION (Cum)</t>
  </si>
  <si>
    <t>PROPOSED PLOTTING –HariVanam Estates, KANAUSI, ALAMBAGH, LUCKNOW</t>
  </si>
  <si>
    <t xml:space="preserve">KEY ASSUMPTIONS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</si>
</sst>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0"/>
      <color rgb="FF0000FF"/>
      <name val="Arial"/>
    </font>
    <font>
      <b/>
      <sz val="9"/>
      <color rgb="FFFFFFFF"/>
      <name val="Arial"/>
    </font>
    <font>
      <b/>
      <sz val="10"/>
      <color rgb="FF000000"/>
      <name val="Arial"/>
    </font>
    <font>
      <sz val="9"/>
      <color rgb="FF0000FF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E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5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0" fillId="6" borderId="1" xfId="0" applyFill="1" applyBorder="1"/>
    <xf numFmtId="4" fontId="9" fillId="9" borderId="2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3" fillId="4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9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29" workbookViewId="0">
      <selection activeCell="K19" sqref="K19"/>
    </sheetView>
  </sheetViews>
  <sheetFormatPr defaultRowHeight="15" x14ac:dyDescent="0.2"/>
  <cols>
    <col min="1" max="1" width="4.9765625" customWidth="1"/>
    <col min="2" max="2" width="45.0625" customWidth="1"/>
    <col min="3" max="3" width="13.98828125" customWidth="1"/>
    <col min="4" max="5" width="9.953125" customWidth="1"/>
    <col min="6" max="6" width="11.97265625" customWidth="1"/>
    <col min="7" max="8" width="13.98828125" customWidth="1"/>
    <col min="9" max="9" width="20.04296875" customWidth="1"/>
  </cols>
  <sheetData>
    <row r="1" spans="1:9" ht="30" customHeight="1" x14ac:dyDescent="0.2">
      <c r="A1" s="28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5.95" customHeight="1" x14ac:dyDescent="0.2">
      <c r="A2" s="26" t="s">
        <v>1</v>
      </c>
      <c r="B2" s="16"/>
      <c r="C2" s="25" t="s">
        <v>94</v>
      </c>
      <c r="D2" s="16"/>
      <c r="E2" s="16"/>
      <c r="F2" s="16"/>
      <c r="G2" s="16"/>
      <c r="H2" s="16"/>
      <c r="I2" s="16"/>
    </row>
    <row r="3" spans="1:9" ht="15.95" customHeight="1" x14ac:dyDescent="0.2">
      <c r="A3" s="26" t="s">
        <v>2</v>
      </c>
      <c r="B3" s="16"/>
      <c r="C3" s="25" t="s">
        <v>3</v>
      </c>
      <c r="D3" s="16"/>
      <c r="E3" s="16"/>
      <c r="F3" s="16"/>
      <c r="G3" s="16"/>
      <c r="H3" s="16"/>
      <c r="I3" s="16"/>
    </row>
    <row r="4" spans="1:9" ht="15.95" customHeight="1" x14ac:dyDescent="0.2">
      <c r="A4" s="26" t="s">
        <v>4</v>
      </c>
      <c r="B4" s="16"/>
      <c r="C4" s="25" t="s">
        <v>5</v>
      </c>
      <c r="D4" s="16"/>
      <c r="E4" s="16"/>
      <c r="F4" s="16"/>
      <c r="G4" s="16"/>
      <c r="H4" s="16"/>
      <c r="I4" s="16"/>
    </row>
    <row r="5" spans="1:9" ht="15.95" customHeight="1" x14ac:dyDescent="0.2">
      <c r="A5" s="26" t="s">
        <v>6</v>
      </c>
      <c r="B5" s="16"/>
      <c r="C5" s="25" t="s">
        <v>7</v>
      </c>
      <c r="D5" s="16"/>
      <c r="E5" s="16"/>
      <c r="F5" s="16"/>
      <c r="G5" s="16"/>
      <c r="H5" s="16"/>
      <c r="I5" s="16"/>
    </row>
    <row r="6" spans="1:9" ht="6" customHeight="1" x14ac:dyDescent="0.2"/>
    <row r="7" spans="1:9" ht="18" customHeight="1" x14ac:dyDescent="0.2">
      <c r="A7" s="15" t="s">
        <v>95</v>
      </c>
      <c r="B7" s="16"/>
      <c r="C7" s="16"/>
      <c r="D7" s="16"/>
      <c r="E7" s="16"/>
      <c r="F7" s="16"/>
      <c r="G7" s="16"/>
      <c r="H7" s="16"/>
      <c r="I7" s="16"/>
    </row>
    <row r="8" spans="1:9" ht="15.95" customHeight="1" x14ac:dyDescent="0.2">
      <c r="A8" s="22" t="s">
        <v>8</v>
      </c>
      <c r="B8" s="16"/>
      <c r="C8" s="16"/>
      <c r="D8" s="16"/>
      <c r="E8" s="16"/>
      <c r="F8" s="1">
        <v>1200</v>
      </c>
    </row>
    <row r="9" spans="1:9" ht="15.95" customHeight="1" x14ac:dyDescent="0.2">
      <c r="A9" s="22" t="s">
        <v>9</v>
      </c>
      <c r="B9" s="16"/>
      <c r="C9" s="16"/>
      <c r="D9" s="16"/>
      <c r="E9" s="16"/>
      <c r="F9" s="1">
        <v>1200</v>
      </c>
    </row>
    <row r="10" spans="1:9" ht="15.95" customHeight="1" x14ac:dyDescent="0.2">
      <c r="A10" s="22" t="s">
        <v>10</v>
      </c>
      <c r="B10" s="16"/>
      <c r="C10" s="16"/>
      <c r="D10" s="16"/>
      <c r="E10" s="16"/>
      <c r="F10" s="1">
        <v>1200</v>
      </c>
    </row>
    <row r="11" spans="1:9" ht="15.95" customHeight="1" x14ac:dyDescent="0.2">
      <c r="A11" s="22" t="s">
        <v>11</v>
      </c>
      <c r="B11" s="16"/>
      <c r="C11" s="16"/>
      <c r="D11" s="16"/>
      <c r="E11" s="16"/>
      <c r="F11" s="1">
        <v>450</v>
      </c>
    </row>
    <row r="12" spans="1:9" ht="15.95" customHeight="1" x14ac:dyDescent="0.2">
      <c r="A12" s="22" t="s">
        <v>12</v>
      </c>
      <c r="B12" s="16"/>
      <c r="C12" s="16"/>
      <c r="D12" s="16"/>
      <c r="E12" s="16"/>
      <c r="F12" s="1">
        <v>300</v>
      </c>
    </row>
    <row r="13" spans="1:9" ht="15.95" customHeight="1" x14ac:dyDescent="0.2">
      <c r="A13" s="22" t="s">
        <v>13</v>
      </c>
      <c r="B13" s="16"/>
      <c r="C13" s="16"/>
      <c r="D13" s="16"/>
      <c r="E13" s="16"/>
      <c r="F13" s="1">
        <v>0.05</v>
      </c>
    </row>
    <row r="14" spans="1:9" ht="15.95" customHeight="1" x14ac:dyDescent="0.2">
      <c r="A14" s="22" t="s">
        <v>14</v>
      </c>
      <c r="B14" s="16"/>
      <c r="C14" s="16"/>
      <c r="D14" s="16"/>
      <c r="E14" s="16"/>
      <c r="F14" s="1">
        <v>0.18</v>
      </c>
    </row>
    <row r="15" spans="1:9" ht="6" customHeight="1" x14ac:dyDescent="0.2"/>
    <row r="16" spans="1:9" ht="36" customHeight="1" x14ac:dyDescent="0.2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</row>
    <row r="17" spans="1:9" ht="18" customHeight="1" x14ac:dyDescent="0.2">
      <c r="A17" s="17" t="s">
        <v>24</v>
      </c>
      <c r="B17" s="18"/>
      <c r="C17" s="18"/>
      <c r="D17" s="18"/>
      <c r="E17" s="18"/>
      <c r="F17" s="18"/>
      <c r="G17" s="18"/>
      <c r="H17" s="18"/>
      <c r="I17" s="18"/>
    </row>
    <row r="18" spans="1:9" ht="18" customHeight="1" x14ac:dyDescent="0.2">
      <c r="A18" s="17" t="s">
        <v>25</v>
      </c>
      <c r="B18" s="18"/>
      <c r="C18" s="18"/>
      <c r="D18" s="18"/>
      <c r="E18" s="18"/>
      <c r="F18" s="18"/>
      <c r="G18" s="18"/>
      <c r="H18" s="18"/>
      <c r="I18" s="18"/>
    </row>
    <row r="19" spans="1:9" ht="18" customHeight="1" x14ac:dyDescent="0.2">
      <c r="A19" s="3" t="s">
        <v>26</v>
      </c>
      <c r="B19" s="4" t="s">
        <v>27</v>
      </c>
      <c r="C19" s="3" t="s">
        <v>28</v>
      </c>
      <c r="D19" s="3" t="s">
        <v>29</v>
      </c>
      <c r="E19" s="5">
        <v>1</v>
      </c>
      <c r="F19" s="5">
        <v>15.24</v>
      </c>
      <c r="G19" s="6">
        <f>F8/1000</f>
        <v>1.2</v>
      </c>
      <c r="H19" s="6">
        <f>F19*(F8/1000)*(F11/1000)</f>
        <v>8.2295999999999996</v>
      </c>
      <c r="I19" s="3" t="s">
        <v>30</v>
      </c>
    </row>
    <row r="20" spans="1:9" ht="18" customHeight="1" x14ac:dyDescent="0.2">
      <c r="A20" s="3" t="s">
        <v>31</v>
      </c>
      <c r="B20" s="4" t="s">
        <v>32</v>
      </c>
      <c r="C20" s="3" t="s">
        <v>33</v>
      </c>
      <c r="D20" s="3" t="s">
        <v>29</v>
      </c>
      <c r="E20" s="5">
        <v>1</v>
      </c>
      <c r="F20" s="5">
        <v>88.7</v>
      </c>
      <c r="G20" s="6">
        <f>F8/1000</f>
        <v>1.2</v>
      </c>
      <c r="H20" s="6">
        <f>F20*(F8/1000)*(F11/1000)</f>
        <v>47.898000000000003</v>
      </c>
      <c r="I20" s="3" t="s">
        <v>34</v>
      </c>
    </row>
    <row r="21" spans="1:9" ht="18" customHeight="1" x14ac:dyDescent="0.2">
      <c r="A21" s="3" t="s">
        <v>35</v>
      </c>
      <c r="B21" s="4" t="s">
        <v>36</v>
      </c>
      <c r="C21" s="3" t="s">
        <v>33</v>
      </c>
      <c r="D21" s="3" t="s">
        <v>29</v>
      </c>
      <c r="E21" s="5">
        <v>1</v>
      </c>
      <c r="F21" s="5">
        <v>48.3</v>
      </c>
      <c r="G21" s="6">
        <f>F8/1000</f>
        <v>1.2</v>
      </c>
      <c r="H21" s="6">
        <f>F21*(F8/1000)*(F11/1000)</f>
        <v>26.081999999999997</v>
      </c>
      <c r="I21" s="3" t="s">
        <v>34</v>
      </c>
    </row>
    <row r="22" spans="1:9" ht="18" customHeight="1" x14ac:dyDescent="0.2">
      <c r="A22" s="3" t="s">
        <v>37</v>
      </c>
      <c r="B22" s="4" t="s">
        <v>38</v>
      </c>
      <c r="C22" s="3" t="s">
        <v>28</v>
      </c>
      <c r="D22" s="3" t="s">
        <v>29</v>
      </c>
      <c r="E22" s="5">
        <v>1</v>
      </c>
      <c r="F22" s="5">
        <v>39</v>
      </c>
      <c r="G22" s="6">
        <f>F8/1000</f>
        <v>1.2</v>
      </c>
      <c r="H22" s="6">
        <f>F22*(F8/1000)*(F11/1000)</f>
        <v>21.06</v>
      </c>
      <c r="I22" s="3" t="s">
        <v>30</v>
      </c>
    </row>
    <row r="23" spans="1:9" ht="18" customHeight="1" x14ac:dyDescent="0.2">
      <c r="A23" s="3" t="s">
        <v>39</v>
      </c>
      <c r="B23" s="4" t="s">
        <v>40</v>
      </c>
      <c r="C23" s="3" t="s">
        <v>28</v>
      </c>
      <c r="D23" s="3" t="s">
        <v>29</v>
      </c>
      <c r="E23" s="5">
        <v>1</v>
      </c>
      <c r="F23" s="5">
        <v>114.03</v>
      </c>
      <c r="G23" s="6">
        <f>F8/1000</f>
        <v>1.2</v>
      </c>
      <c r="H23" s="6">
        <f>F23*(F8/1000)*(F11/1000)</f>
        <v>61.576199999999993</v>
      </c>
      <c r="I23" s="3" t="s">
        <v>34</v>
      </c>
    </row>
    <row r="24" spans="1:9" ht="18" customHeight="1" x14ac:dyDescent="0.2">
      <c r="A24" s="17" t="s">
        <v>41</v>
      </c>
      <c r="B24" s="18"/>
      <c r="C24" s="18"/>
      <c r="D24" s="18"/>
      <c r="E24" s="18"/>
      <c r="F24" s="18"/>
      <c r="G24" s="18"/>
      <c r="H24" s="18"/>
      <c r="I24" s="18"/>
    </row>
    <row r="25" spans="1:9" ht="18" customHeight="1" x14ac:dyDescent="0.2">
      <c r="A25" s="3" t="s">
        <v>42</v>
      </c>
      <c r="B25" s="4" t="s">
        <v>43</v>
      </c>
      <c r="C25" s="3" t="s">
        <v>28</v>
      </c>
      <c r="D25" s="3" t="s">
        <v>29</v>
      </c>
      <c r="E25" s="5">
        <v>2</v>
      </c>
      <c r="F25" s="5">
        <v>67.430000000000007</v>
      </c>
      <c r="G25" s="6">
        <f>F10/1000</f>
        <v>1.2</v>
      </c>
      <c r="H25" s="6">
        <f>F25*(F10/1000)*(F12/1000)</f>
        <v>24.274800000000003</v>
      </c>
      <c r="I25" s="3" t="s">
        <v>30</v>
      </c>
    </row>
    <row r="26" spans="1:9" ht="18" customHeight="1" x14ac:dyDescent="0.2">
      <c r="A26" s="3" t="s">
        <v>44</v>
      </c>
      <c r="B26" s="4" t="s">
        <v>45</v>
      </c>
      <c r="C26" s="3" t="s">
        <v>46</v>
      </c>
      <c r="D26" s="3" t="s">
        <v>29</v>
      </c>
      <c r="E26" s="5">
        <v>7</v>
      </c>
      <c r="F26" s="5">
        <v>68.599999999999994</v>
      </c>
      <c r="G26" s="6">
        <f>F10/1000</f>
        <v>1.2</v>
      </c>
      <c r="H26" s="6">
        <f>F26*(F10/1000)*(F12/1000)</f>
        <v>24.695999999999998</v>
      </c>
      <c r="I26" s="3" t="s">
        <v>47</v>
      </c>
    </row>
    <row r="27" spans="1:9" ht="18" customHeight="1" x14ac:dyDescent="0.2">
      <c r="A27" s="3" t="s">
        <v>48</v>
      </c>
      <c r="B27" s="4" t="s">
        <v>49</v>
      </c>
      <c r="C27" s="3" t="s">
        <v>46</v>
      </c>
      <c r="D27" s="3" t="s">
        <v>29</v>
      </c>
      <c r="E27" s="5">
        <v>2</v>
      </c>
      <c r="F27" s="5">
        <v>4</v>
      </c>
      <c r="G27" s="6">
        <f>F10/1000</f>
        <v>1.2</v>
      </c>
      <c r="H27" s="6">
        <f>F27*(F10/1000)*(F12/1000)</f>
        <v>1.44</v>
      </c>
      <c r="I27" s="3" t="s">
        <v>47</v>
      </c>
    </row>
    <row r="28" spans="1:9" ht="18" customHeight="1" x14ac:dyDescent="0.2">
      <c r="A28" s="3" t="s">
        <v>50</v>
      </c>
      <c r="B28" s="4" t="s">
        <v>51</v>
      </c>
      <c r="C28" s="3" t="s">
        <v>46</v>
      </c>
      <c r="D28" s="3" t="s">
        <v>29</v>
      </c>
      <c r="E28" s="5">
        <v>4</v>
      </c>
      <c r="F28" s="5">
        <v>51.2</v>
      </c>
      <c r="G28" s="6">
        <f>F10/1000</f>
        <v>1.2</v>
      </c>
      <c r="H28" s="6">
        <f>F28*(F10/1000)*(F12/1000)</f>
        <v>18.431999999999999</v>
      </c>
      <c r="I28" s="3" t="s">
        <v>47</v>
      </c>
    </row>
    <row r="29" spans="1:9" ht="18" customHeight="1" x14ac:dyDescent="0.2">
      <c r="A29" s="3" t="s">
        <v>52</v>
      </c>
      <c r="B29" s="4" t="s">
        <v>53</v>
      </c>
      <c r="C29" s="3" t="s">
        <v>46</v>
      </c>
      <c r="D29" s="3" t="s">
        <v>29</v>
      </c>
      <c r="E29" s="5">
        <v>2</v>
      </c>
      <c r="F29" s="5">
        <v>19.600000000000001</v>
      </c>
      <c r="G29" s="6">
        <f>F10/1000</f>
        <v>1.2</v>
      </c>
      <c r="H29" s="6">
        <f>F29*(F10/1000)*(F12/1000)</f>
        <v>7.056</v>
      </c>
      <c r="I29" s="3" t="s">
        <v>47</v>
      </c>
    </row>
    <row r="30" spans="1:9" ht="18" customHeight="1" x14ac:dyDescent="0.2">
      <c r="A30" s="3" t="s">
        <v>54</v>
      </c>
      <c r="B30" s="4" t="s">
        <v>55</v>
      </c>
      <c r="C30" s="3" t="s">
        <v>46</v>
      </c>
      <c r="D30" s="3" t="s">
        <v>29</v>
      </c>
      <c r="E30" s="5">
        <v>2</v>
      </c>
      <c r="F30" s="5">
        <v>4</v>
      </c>
      <c r="G30" s="6">
        <f>F10/1000</f>
        <v>1.2</v>
      </c>
      <c r="H30" s="6">
        <f>F30*(F10/1000)*(F12/1000)</f>
        <v>1.44</v>
      </c>
      <c r="I30" s="3" t="s">
        <v>47</v>
      </c>
    </row>
    <row r="31" spans="1:9" ht="18" customHeight="1" x14ac:dyDescent="0.2">
      <c r="A31" s="3" t="s">
        <v>56</v>
      </c>
      <c r="B31" s="4" t="s">
        <v>57</v>
      </c>
      <c r="C31" s="3" t="s">
        <v>46</v>
      </c>
      <c r="D31" s="3" t="s">
        <v>29</v>
      </c>
      <c r="E31" s="5">
        <v>3</v>
      </c>
      <c r="F31" s="5">
        <v>6</v>
      </c>
      <c r="G31" s="6">
        <f>F10/1000</f>
        <v>1.2</v>
      </c>
      <c r="H31" s="6">
        <f>F31*(F10/1000)*(F12/1000)</f>
        <v>2.1599999999999997</v>
      </c>
      <c r="I31" s="3" t="s">
        <v>47</v>
      </c>
    </row>
    <row r="32" spans="1:9" ht="18" customHeight="1" x14ac:dyDescent="0.2">
      <c r="A32" s="3" t="s">
        <v>58</v>
      </c>
      <c r="B32" s="4" t="s">
        <v>59</v>
      </c>
      <c r="C32" s="3" t="s">
        <v>46</v>
      </c>
      <c r="D32" s="3" t="s">
        <v>29</v>
      </c>
      <c r="E32" s="5">
        <v>9</v>
      </c>
      <c r="F32" s="5">
        <v>88.2</v>
      </c>
      <c r="G32" s="6">
        <f>F10/1000</f>
        <v>1.2</v>
      </c>
      <c r="H32" s="6">
        <f>F32*(F10/1000)*(F12/1000)</f>
        <v>31.751999999999999</v>
      </c>
      <c r="I32" s="3" t="s">
        <v>47</v>
      </c>
    </row>
    <row r="33" spans="1:9" ht="18" customHeight="1" x14ac:dyDescent="0.2">
      <c r="A33" s="3" t="s">
        <v>60</v>
      </c>
      <c r="B33" s="4" t="s">
        <v>61</v>
      </c>
      <c r="C33" s="3" t="s">
        <v>46</v>
      </c>
      <c r="D33" s="3" t="s">
        <v>29</v>
      </c>
      <c r="E33" s="5">
        <v>1</v>
      </c>
      <c r="F33" s="5">
        <v>13.75</v>
      </c>
      <c r="G33" s="6">
        <f>F10/1000</f>
        <v>1.2</v>
      </c>
      <c r="H33" s="6">
        <f>F33*(F10/1000)*(F12/1000)</f>
        <v>4.95</v>
      </c>
      <c r="I33" s="3" t="s">
        <v>47</v>
      </c>
    </row>
    <row r="34" spans="1:9" ht="18" customHeight="1" x14ac:dyDescent="0.2">
      <c r="A34" s="20" t="s">
        <v>62</v>
      </c>
      <c r="B34" s="21"/>
      <c r="C34" s="21"/>
      <c r="D34" s="21"/>
      <c r="E34" s="21"/>
      <c r="F34" s="21"/>
      <c r="G34" s="21"/>
      <c r="H34" s="21"/>
      <c r="I34" s="21"/>
    </row>
    <row r="35" spans="1:9" ht="18" customHeight="1" x14ac:dyDescent="0.2">
      <c r="A35" s="20" t="s">
        <v>63</v>
      </c>
      <c r="B35" s="21"/>
      <c r="C35" s="21"/>
      <c r="D35" s="21"/>
      <c r="E35" s="21"/>
      <c r="F35" s="21"/>
      <c r="G35" s="21"/>
      <c r="H35" s="21"/>
      <c r="I35" s="21"/>
    </row>
    <row r="36" spans="1:9" ht="18" customHeight="1" x14ac:dyDescent="0.2">
      <c r="A36" s="7" t="s">
        <v>64</v>
      </c>
      <c r="B36" s="8" t="s">
        <v>65</v>
      </c>
      <c r="C36" s="7" t="s">
        <v>33</v>
      </c>
      <c r="D36" s="7" t="s">
        <v>29</v>
      </c>
      <c r="E36" s="9">
        <v>1</v>
      </c>
      <c r="F36" s="9">
        <v>62.1</v>
      </c>
      <c r="G36" s="10">
        <f>F8/1000</f>
        <v>1.2</v>
      </c>
      <c r="H36" s="10">
        <f>F36*(F8/1000)*(F11/1000)</f>
        <v>33.533999999999999</v>
      </c>
      <c r="I36" s="7" t="s">
        <v>34</v>
      </c>
    </row>
    <row r="37" spans="1:9" ht="18" customHeight="1" x14ac:dyDescent="0.2">
      <c r="A37" s="7" t="s">
        <v>66</v>
      </c>
      <c r="B37" s="8" t="s">
        <v>67</v>
      </c>
      <c r="C37" s="7" t="s">
        <v>28</v>
      </c>
      <c r="D37" s="7" t="s">
        <v>29</v>
      </c>
      <c r="E37" s="9">
        <v>1</v>
      </c>
      <c r="F37" s="9">
        <v>43.8</v>
      </c>
      <c r="G37" s="10">
        <f>F8/1000</f>
        <v>1.2</v>
      </c>
      <c r="H37" s="10">
        <f>F37*(F8/1000)*(F11/1000)</f>
        <v>23.651999999999997</v>
      </c>
      <c r="I37" s="7" t="s">
        <v>30</v>
      </c>
    </row>
    <row r="38" spans="1:9" ht="18" customHeight="1" x14ac:dyDescent="0.2">
      <c r="A38" s="7" t="s">
        <v>68</v>
      </c>
      <c r="B38" s="8" t="s">
        <v>69</v>
      </c>
      <c r="C38" s="7" t="s">
        <v>28</v>
      </c>
      <c r="D38" s="7" t="s">
        <v>29</v>
      </c>
      <c r="E38" s="9">
        <v>1</v>
      </c>
      <c r="F38" s="9">
        <v>120.6</v>
      </c>
      <c r="G38" s="10">
        <f>F8/1000</f>
        <v>1.2</v>
      </c>
      <c r="H38" s="10">
        <f>F38*(F8/1000)*(F11/1000)</f>
        <v>65.123999999999995</v>
      </c>
      <c r="I38" s="7" t="s">
        <v>30</v>
      </c>
    </row>
    <row r="39" spans="1:9" ht="18" customHeight="1" x14ac:dyDescent="0.2">
      <c r="A39" s="7" t="s">
        <v>70</v>
      </c>
      <c r="B39" s="8" t="s">
        <v>71</v>
      </c>
      <c r="C39" s="7" t="s">
        <v>33</v>
      </c>
      <c r="D39" s="7" t="s">
        <v>29</v>
      </c>
      <c r="E39" s="9">
        <v>1</v>
      </c>
      <c r="F39" s="9">
        <v>75.8</v>
      </c>
      <c r="G39" s="10">
        <f>F8/1000</f>
        <v>1.2</v>
      </c>
      <c r="H39" s="10">
        <f>F39*(F8/1000)*(F11/1000)</f>
        <v>40.931999999999995</v>
      </c>
      <c r="I39" s="7" t="s">
        <v>34</v>
      </c>
    </row>
    <row r="40" spans="1:9" ht="18" customHeight="1" x14ac:dyDescent="0.2">
      <c r="A40" s="20" t="s">
        <v>72</v>
      </c>
      <c r="B40" s="21"/>
      <c r="C40" s="21"/>
      <c r="D40" s="21"/>
      <c r="E40" s="21"/>
      <c r="F40" s="21"/>
      <c r="G40" s="21"/>
      <c r="H40" s="21"/>
      <c r="I40" s="21"/>
    </row>
    <row r="41" spans="1:9" ht="18" customHeight="1" x14ac:dyDescent="0.2">
      <c r="A41" s="7" t="s">
        <v>73</v>
      </c>
      <c r="B41" s="8" t="s">
        <v>74</v>
      </c>
      <c r="C41" s="7" t="s">
        <v>46</v>
      </c>
      <c r="D41" s="7" t="s">
        <v>29</v>
      </c>
      <c r="E41" s="9">
        <v>1</v>
      </c>
      <c r="F41" s="9">
        <v>2</v>
      </c>
      <c r="G41" s="10">
        <f>F10/1000</f>
        <v>1.2</v>
      </c>
      <c r="H41" s="10">
        <f>F41*(F10/1000)*(F12/1000)</f>
        <v>0.72</v>
      </c>
      <c r="I41" s="7" t="s">
        <v>30</v>
      </c>
    </row>
    <row r="42" spans="1:9" ht="18" customHeight="1" x14ac:dyDescent="0.2">
      <c r="A42" s="7" t="s">
        <v>75</v>
      </c>
      <c r="B42" s="8" t="s">
        <v>76</v>
      </c>
      <c r="C42" s="7" t="s">
        <v>46</v>
      </c>
      <c r="D42" s="7" t="s">
        <v>29</v>
      </c>
      <c r="E42" s="9">
        <v>2</v>
      </c>
      <c r="F42" s="9">
        <v>19.600000000000001</v>
      </c>
      <c r="G42" s="10">
        <f>F10/1000</f>
        <v>1.2</v>
      </c>
      <c r="H42" s="10">
        <f>F42*(F10/1000)*(F12/1000)</f>
        <v>7.056</v>
      </c>
      <c r="I42" s="7" t="s">
        <v>47</v>
      </c>
    </row>
    <row r="43" spans="1:9" ht="18" customHeight="1" x14ac:dyDescent="0.2">
      <c r="A43" s="7" t="s">
        <v>77</v>
      </c>
      <c r="B43" s="8" t="s">
        <v>78</v>
      </c>
      <c r="C43" s="7" t="s">
        <v>46</v>
      </c>
      <c r="D43" s="7" t="s">
        <v>29</v>
      </c>
      <c r="E43" s="9">
        <v>8</v>
      </c>
      <c r="F43" s="9">
        <v>16</v>
      </c>
      <c r="G43" s="10">
        <f>F10/1000</f>
        <v>1.2</v>
      </c>
      <c r="H43" s="10">
        <f>F43*(F10/1000)*(F12/1000)</f>
        <v>5.76</v>
      </c>
      <c r="I43" s="7" t="s">
        <v>47</v>
      </c>
    </row>
    <row r="44" spans="1:9" ht="18" customHeight="1" x14ac:dyDescent="0.2">
      <c r="A44" s="7" t="s">
        <v>79</v>
      </c>
      <c r="B44" s="8" t="s">
        <v>80</v>
      </c>
      <c r="C44" s="7" t="s">
        <v>46</v>
      </c>
      <c r="D44" s="7" t="s">
        <v>29</v>
      </c>
      <c r="E44" s="9">
        <v>4</v>
      </c>
      <c r="F44" s="9">
        <v>39.200000000000003</v>
      </c>
      <c r="G44" s="10">
        <f>F10/1000</f>
        <v>1.2</v>
      </c>
      <c r="H44" s="10">
        <f>F44*(F10/1000)*(F12/1000)</f>
        <v>14.112</v>
      </c>
      <c r="I44" s="7" t="s">
        <v>47</v>
      </c>
    </row>
    <row r="45" spans="1:9" ht="18" customHeight="1" x14ac:dyDescent="0.2">
      <c r="A45" s="7" t="s">
        <v>81</v>
      </c>
      <c r="B45" s="8" t="s">
        <v>82</v>
      </c>
      <c r="C45" s="7" t="s">
        <v>46</v>
      </c>
      <c r="D45" s="7" t="s">
        <v>29</v>
      </c>
      <c r="E45" s="9">
        <v>4</v>
      </c>
      <c r="F45" s="9">
        <v>8</v>
      </c>
      <c r="G45" s="10">
        <f>F10/1000</f>
        <v>1.2</v>
      </c>
      <c r="H45" s="10">
        <f>F45*(F10/1000)*(F12/1000)</f>
        <v>2.88</v>
      </c>
      <c r="I45" s="7" t="s">
        <v>47</v>
      </c>
    </row>
    <row r="46" spans="1:9" ht="18" customHeight="1" x14ac:dyDescent="0.2">
      <c r="A46" s="7" t="s">
        <v>83</v>
      </c>
      <c r="B46" s="8" t="s">
        <v>84</v>
      </c>
      <c r="C46" s="7" t="s">
        <v>46</v>
      </c>
      <c r="D46" s="7" t="s">
        <v>29</v>
      </c>
      <c r="E46" s="9">
        <v>2</v>
      </c>
      <c r="F46" s="9">
        <v>19.600000000000001</v>
      </c>
      <c r="G46" s="10">
        <f>F10/1000</f>
        <v>1.2</v>
      </c>
      <c r="H46" s="10">
        <f>F46*(F10/1000)*(F12/1000)</f>
        <v>7.056</v>
      </c>
      <c r="I46" s="7" t="s">
        <v>47</v>
      </c>
    </row>
    <row r="47" spans="1:9" ht="18" customHeight="1" x14ac:dyDescent="0.2">
      <c r="A47" s="7" t="s">
        <v>85</v>
      </c>
      <c r="B47" s="8" t="s">
        <v>86</v>
      </c>
      <c r="C47" s="7" t="s">
        <v>46</v>
      </c>
      <c r="D47" s="7" t="s">
        <v>29</v>
      </c>
      <c r="E47" s="9">
        <v>5</v>
      </c>
      <c r="F47" s="9">
        <v>49</v>
      </c>
      <c r="G47" s="10">
        <f>F10/1000</f>
        <v>1.2</v>
      </c>
      <c r="H47" s="10">
        <f>F47*(F10/1000)*(F12/1000)</f>
        <v>17.639999999999997</v>
      </c>
      <c r="I47" s="7" t="s">
        <v>47</v>
      </c>
    </row>
    <row r="48" spans="1:9" ht="18" customHeight="1" x14ac:dyDescent="0.2">
      <c r="A48" s="7" t="s">
        <v>87</v>
      </c>
      <c r="B48" s="8" t="s">
        <v>88</v>
      </c>
      <c r="C48" s="7" t="s">
        <v>46</v>
      </c>
      <c r="D48" s="7" t="s">
        <v>29</v>
      </c>
      <c r="E48" s="9">
        <v>1</v>
      </c>
      <c r="F48" s="9">
        <v>10.8</v>
      </c>
      <c r="G48" s="10">
        <f>F10/1000</f>
        <v>1.2</v>
      </c>
      <c r="H48" s="10">
        <f>F48*(F10/1000)*(F12/1000)</f>
        <v>3.8879999999999999</v>
      </c>
      <c r="I48" s="7" t="s">
        <v>47</v>
      </c>
    </row>
    <row r="49" spans="1:9" ht="18" customHeight="1" x14ac:dyDescent="0.2">
      <c r="A49" s="23" t="s">
        <v>89</v>
      </c>
      <c r="B49" s="24"/>
      <c r="C49" s="24"/>
      <c r="D49" s="24"/>
      <c r="E49" s="24"/>
      <c r="F49" s="24"/>
      <c r="G49" s="24"/>
      <c r="H49" s="24"/>
      <c r="I49" s="24"/>
    </row>
    <row r="50" spans="1:9" ht="18" customHeight="1" x14ac:dyDescent="0.2">
      <c r="A50" s="11" t="s">
        <v>90</v>
      </c>
      <c r="B50" s="12" t="s">
        <v>91</v>
      </c>
      <c r="C50" s="11" t="s">
        <v>33</v>
      </c>
      <c r="D50" s="11" t="s">
        <v>29</v>
      </c>
      <c r="E50" s="13">
        <v>1</v>
      </c>
      <c r="F50" s="13">
        <v>231</v>
      </c>
      <c r="G50" s="14">
        <f>F8/1000</f>
        <v>1.2</v>
      </c>
      <c r="H50" s="14">
        <f>F50*(F8/1000)*(F11/1000)</f>
        <v>124.74</v>
      </c>
      <c r="I50" s="11" t="s">
        <v>92</v>
      </c>
    </row>
    <row r="51" spans="1:9" ht="6" customHeight="1" x14ac:dyDescent="0.2"/>
    <row r="52" spans="1:9" ht="20.100000000000001" customHeight="1" x14ac:dyDescent="0.2">
      <c r="A52" s="27" t="s">
        <v>93</v>
      </c>
      <c r="B52" s="16"/>
      <c r="C52" s="16"/>
      <c r="D52" s="16"/>
      <c r="E52" s="16"/>
      <c r="F52" s="19">
        <f>SUM(F19,F20,F21,F22,F23,F25,F26,F27,F28,F29,F30,F31,F32,F33,F36,F37,F38,F39,F41,F42,F43,F44,F45,F46,F47,F48,F50)</f>
        <v>1325.55</v>
      </c>
      <c r="G52" s="16"/>
      <c r="H52" s="19">
        <f>SUM(H19,H20,H21,H22,H23,H25,H26,H27,H28,H29,H30,H31,H32,H33,H36,H37,H38,H39,H41,H42,H43,H44,H45,H46,H47,H48,H50)</f>
        <v>628.14059999999995</v>
      </c>
      <c r="I52" s="16"/>
    </row>
  </sheetData>
  <mergeCells count="27">
    <mergeCell ref="A1:I1"/>
    <mergeCell ref="C2:I2"/>
    <mergeCell ref="A9:E9"/>
    <mergeCell ref="F52:G52"/>
    <mergeCell ref="A2:B2"/>
    <mergeCell ref="A18:I18"/>
    <mergeCell ref="C4:I4"/>
    <mergeCell ref="A5:B5"/>
    <mergeCell ref="A13:E13"/>
    <mergeCell ref="A8:E8"/>
    <mergeCell ref="A4:B4"/>
    <mergeCell ref="A10:E10"/>
    <mergeCell ref="C3:I3"/>
    <mergeCell ref="A34:I34"/>
    <mergeCell ref="A3:B3"/>
    <mergeCell ref="C5:I5"/>
    <mergeCell ref="A12:E12"/>
    <mergeCell ref="A7:I7"/>
    <mergeCell ref="A24:I24"/>
    <mergeCell ref="H52:I52"/>
    <mergeCell ref="A40:I40"/>
    <mergeCell ref="A14:E14"/>
    <mergeCell ref="A11:E11"/>
    <mergeCell ref="A17:I17"/>
    <mergeCell ref="A49:I49"/>
    <mergeCell ref="A52:E52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- Water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2026-04-24T09:15:47Z</dcterms:created>
  <dcterms:modified xsi:type="dcterms:W3CDTF">2026-04-24T09:15:47Z</dcterms:modified>
</cp:coreProperties>
</file>